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y Meeting" sheetId="2" r:id="rId6"/>
    <sheet state="visible" name="By Category" sheetId="3" r:id="rId7"/>
    <sheet state="visible" name="By Vendor" sheetId="4" r:id="rId8"/>
    <sheet state="visible" name="AP Line Items" sheetId="5" r:id="rId9"/>
    <sheet state="visible" name="Utility Refunds" sheetId="6" r:id="rId10"/>
    <sheet state="visible" name="Credit Cards (memo)" sheetId="7" r:id="rId11"/>
  </sheets>
  <definedNames>
    <definedName hidden="1" localSheetId="3" name="_xlnm._FilterDatabase">'By Vendor'!$A$1:$E$446</definedName>
    <definedName hidden="1" localSheetId="4" name="_xlnm._FilterDatabase">'AP Line Items'!$A$1:$F$1812</definedName>
    <definedName hidden="1" localSheetId="5" name="_xlnm._FilterDatabase">'Utility Refunds'!$A$1:$D$76</definedName>
  </definedNames>
  <calcPr/>
</workbook>
</file>

<file path=xl/sharedStrings.xml><?xml version="1.0" encoding="utf-8"?>
<sst xmlns="http://schemas.openxmlformats.org/spreadsheetml/2006/main" count="10652" uniqueCount="2415">
  <si>
    <t>Town of Berlin, MD — Council Check Run Analysis</t>
  </si>
  <si>
    <t>Approved disbursements, Jan 1, 2025 – Jun 8, 2026 (21 council meetings)</t>
  </si>
  <si>
    <t>Source: berlinmd.gov council-meetings check run reports · Prepared 2026-06-22</t>
  </si>
  <si>
    <t>AP Vendor Payments</t>
  </si>
  <si>
    <t>Utility Refunds</t>
  </si>
  <si>
    <t>Total Disbursed</t>
  </si>
  <si>
    <t>Vendors / Line Items</t>
  </si>
  <si>
    <t>Spending by Category</t>
  </si>
  <si>
    <t>Top 15 Vendors</t>
  </si>
  <si>
    <t>Category</t>
  </si>
  <si>
    <t>Total Paid</t>
  </si>
  <si>
    <t>% of AP</t>
  </si>
  <si>
    <t>Vendor</t>
  </si>
  <si>
    <t># Pmts</t>
  </si>
  <si>
    <t>Other / General</t>
  </si>
  <si>
    <t>NEXGRID</t>
  </si>
  <si>
    <t>Payroll, Taxes &amp; Benefits</t>
  </si>
  <si>
    <t>ATLANTIC MACHINERY, INC</t>
  </si>
  <si>
    <t>Vehicles, Fleet &amp; Equipment</t>
  </si>
  <si>
    <t>BENEFITMALL</t>
  </si>
  <si>
    <t>Electric/Water Utility Materials</t>
  </si>
  <si>
    <t>CRC BENEFITS</t>
  </si>
  <si>
    <t>Professional Services (Legal/Eng/Audit)</t>
  </si>
  <si>
    <t>BERLIN FIRE COMPANY EMERGENCY MEDICAL SERVICES INC</t>
  </si>
  <si>
    <t>Public Safety (Fire/EMS/Police)</t>
  </si>
  <si>
    <t>HERTRICH FLEET SERVIICES INC</t>
  </si>
  <si>
    <t>Construction &amp; Infrastructure</t>
  </si>
  <si>
    <t>BERLIN FIRE CO</t>
  </si>
  <si>
    <t>Interfund / Town Transfers</t>
  </si>
  <si>
    <t>TOWN OF BERLIN</t>
  </si>
  <si>
    <t>Technology &amp; Software</t>
  </si>
  <si>
    <t>EAST COAST CONTRACTING</t>
  </si>
  <si>
    <t>Waste &amp; Disposal</t>
  </si>
  <si>
    <t>DAVIS, BOWEN &amp; FRIEDEL</t>
  </si>
  <si>
    <t>Debt Service &amp; State Loans</t>
  </si>
  <si>
    <t>HALEY ARCHITECTURE</t>
  </si>
  <si>
    <t>Utilities &amp; Telecom</t>
  </si>
  <si>
    <t>ATT:DATA CONTROLL DIV-PAYROLL MARYLAND STATE RETIREMENT</t>
  </si>
  <si>
    <t>Uniforms &amp; Facility Services</t>
  </si>
  <si>
    <t>COMPTROLLER OF MARYLAND</t>
  </si>
  <si>
    <t>Printing &amp; Office</t>
  </si>
  <si>
    <t>CUNNINGHAM ASSOCIATES INC</t>
  </si>
  <si>
    <t>Health Services</t>
  </si>
  <si>
    <t>THE PETE STORE</t>
  </si>
  <si>
    <t>TOTAL</t>
  </si>
  <si>
    <t>Scope &amp; Method</t>
  </si>
  <si>
    <t>• Covers all 21 Check Run Reports posted on berlinmd.gov for council meetings from 01/27/2025 through 06/08/2026.</t>
  </si>
  <si>
    <t>• "AP Vendor Payments" = vendor accounts-payable checks approved at each meeting (the substantive operating expenses).</t>
  </si>
  <si>
    <t>• "Utility Refunds" = customer utility-billing refund checks, listed separately on the Utility Refunds tab.</t>
  </si>
  <si>
    <t>• Every meeting's extracted vendor total was reconciled to the PDF's stated packet totals (see 'By Meeting' → Reconciles?).</t>
  </si>
  <si>
    <t>Important caveats</t>
  </si>
  <si>
    <t>• The 08/11/2025 report posted on the site is a duplicate of the 07/28/2025 report (identical $2,178,400.96, same packets dated 07/03–07/29). It is EXCLUDED to avoid double-counting.</t>
  </si>
  <si>
    <t>• No separate check run reports were posted for some meetings (e.g., June 2025, parts of spring 2026); only posted reports are included.</t>
  </si>
  <si>
    <t>• Credit-card (Bank of Ocean City) statements bundled in some PDFs are shown on the 'Credit Cards (memo)' tab and are EXCLUDED from totals, since those purchases are typically paid via a separate AP check (avoids double counting).</t>
  </si>
  <si>
    <t>• Categories are assigned heuristically by vendor-name keywords; 'Other / General' holds vendors that didn't match a rule. Re-categorize on the 'AP Line Items' tab if needed — all rollups are live formulas.</t>
  </si>
  <si>
    <t>• A vendor paid in multiple packets/meetings appears as multiple line items; the 'By Vendor' tab sums them.</t>
  </si>
  <si>
    <t>Meeting Date</t>
  </si>
  <si>
    <t># Vendor Lines</t>
  </si>
  <si>
    <t>Combined Disbursed</t>
  </si>
  <si>
    <t>Stated Total (PDF)</t>
  </si>
  <si>
    <t>Reconciles?</t>
  </si>
  <si>
    <t>01.27.2025</t>
  </si>
  <si>
    <t>02.10.2025</t>
  </si>
  <si>
    <t>—</t>
  </si>
  <si>
    <t>n/a</t>
  </si>
  <si>
    <t>02.24.2025</t>
  </si>
  <si>
    <t>03.10.2025</t>
  </si>
  <si>
    <t>03.24.2025</t>
  </si>
  <si>
    <t>04.14.2025</t>
  </si>
  <si>
    <t>04.28.2025</t>
  </si>
  <si>
    <t>05.12.2025</t>
  </si>
  <si>
    <t>05.27.2025</t>
  </si>
  <si>
    <t>07.28.2025</t>
  </si>
  <si>
    <t>08.25.2025</t>
  </si>
  <si>
    <t>09.08.2025</t>
  </si>
  <si>
    <t>10.14.2025</t>
  </si>
  <si>
    <t>10.27.2025</t>
  </si>
  <si>
    <t>11.10.2025</t>
  </si>
  <si>
    <t>12.08.2025</t>
  </si>
  <si>
    <t>01.12.2026</t>
  </si>
  <si>
    <t>02.09.2026</t>
  </si>
  <si>
    <t>02.23.2026</t>
  </si>
  <si>
    <t>03.09.2026</t>
  </si>
  <si>
    <t>06.08.2026</t>
  </si>
  <si>
    <t>GRAND TOTAL</t>
  </si>
  <si>
    <t># Line Items</t>
  </si>
  <si>
    <t>Vendor (normalized)</t>
  </si>
  <si>
    <t># Payments</t>
  </si>
  <si>
    <t>GRAN TURK EQUIPMENT CO</t>
  </si>
  <si>
    <t>MARYLAND WATER QUALITY FINANCING ADMINISTRATION</t>
  </si>
  <si>
    <t>CARTER MACHINERY COMPANY INC</t>
  </si>
  <si>
    <t>WORCESTER COUNTY LANDFILL</t>
  </si>
  <si>
    <t>HOPKINS CONSTRUCTION INC</t>
  </si>
  <si>
    <t>LOCAL GOVERNMENT INSURANCE TRUST</t>
  </si>
  <si>
    <t>BOOTH &amp; ASSOCIATES INC</t>
  </si>
  <si>
    <t>CATO OIL CO., INC.</t>
  </si>
  <si>
    <t>HAWKINS INC</t>
  </si>
  <si>
    <t>TYLER TECHNOLOGIES INC</t>
  </si>
  <si>
    <t>GROUNDWORK SOLUTIONS INC</t>
  </si>
  <si>
    <t>NATIONWIDE RETIREMENT SOLUTIONS</t>
  </si>
  <si>
    <t>EA ENGINEERING, SCIENCE AND TECHNOLOGY INC PBC</t>
  </si>
  <si>
    <t>KELLER BROTHERS INC</t>
  </si>
  <si>
    <t>BECKER MORGAN GROUP INC</t>
  </si>
  <si>
    <t>TECHMD</t>
  </si>
  <si>
    <t>LINDSAY FORD LLC</t>
  </si>
  <si>
    <t>PIGG, KRAHL, STERN &amp; CO., P.A.</t>
  </si>
  <si>
    <t>BENNETT CONSTRUCTION, INC</t>
  </si>
  <si>
    <t>AC SCHULTES OF DELAWARE INC</t>
  </si>
  <si>
    <t>DEERE &amp; COMPANY</t>
  </si>
  <si>
    <t>FREEMIRE &amp; ASSOCIATES</t>
  </si>
  <si>
    <t>AT&amp;T MOBILITY</t>
  </si>
  <si>
    <t>EAST COAST UNDERGROUND</t>
  </si>
  <si>
    <t>WILLIAM E ESHAM, JR.</t>
  </si>
  <si>
    <t>CHOPTANK ELECTRIC COOPERATIVE, INC.</t>
  </si>
  <si>
    <t>I G BURTON OF BERLIN INC</t>
  </si>
  <si>
    <t>UNITED UTILITY SUPPLY</t>
  </si>
  <si>
    <t>CORE &amp; MAIN LP</t>
  </si>
  <si>
    <t>FERGUSON ENTERPRISES</t>
  </si>
  <si>
    <t>SOUTHERN CORROSION INC</t>
  </si>
  <si>
    <t>WORCESTER YOUTH &amp; FAMILY COUNSELING SERVICES</t>
  </si>
  <si>
    <t>TTI INC</t>
  </si>
  <si>
    <t>TERRA FIRMA</t>
  </si>
  <si>
    <t>ANIXTER POWER SOLUTIONS, LLC</t>
  </si>
  <si>
    <t>CAPITAL ELECTRIC SUPPLY COMPANY</t>
  </si>
  <si>
    <t>GOODY HILL GROUND WORK INC</t>
  </si>
  <si>
    <t>STUART C IRBY CO</t>
  </si>
  <si>
    <t>BERLIN HERITAGE FOUNDATION, INC.</t>
  </si>
  <si>
    <t>COMCAST</t>
  </si>
  <si>
    <t>PHYLLIS G KIMMEL LAW OFFICE PLLC</t>
  </si>
  <si>
    <t>DELMARVA POWER SPORTS LLC</t>
  </si>
  <si>
    <t>SUNRISE SAFETY SERVICES INC</t>
  </si>
  <si>
    <t>PYRZ WATER SUPPY CO INC</t>
  </si>
  <si>
    <t>1NTEGER/TECHMD/ICS</t>
  </si>
  <si>
    <t>TRANSFORMER MAINTENANCE &amp; SERVICE INC</t>
  </si>
  <si>
    <t>HENLEY CONSTRUCTION CO INC</t>
  </si>
  <si>
    <t>PAIGE INDUSTRIAL SERVICES INC</t>
  </si>
  <si>
    <t>HOME DEPOT CREDIT CARD SERVICES</t>
  </si>
  <si>
    <t>BURKE EQUIPMENT COMPANY</t>
  </si>
  <si>
    <t>ALTEC INDUSTRIES INC</t>
  </si>
  <si>
    <t>AXON ENTERPRISES INC</t>
  </si>
  <si>
    <t>CHESAPEAKE EMPLOYERS INSURANCE</t>
  </si>
  <si>
    <t>FORTILINE WATERWORKS</t>
  </si>
  <si>
    <t>COMCAST BUSINESS</t>
  </si>
  <si>
    <t>OLD LINE HOLDING COMPANY INC</t>
  </si>
  <si>
    <t>RACETRACK AUTO CENTER</t>
  </si>
  <si>
    <t>HILL'S ELECTRIC MOTOR SERVICE INC.</t>
  </si>
  <si>
    <t>FLEET MAINTENANCE, INC</t>
  </si>
  <si>
    <t>PUBLIC SERVICE COMMISSION</t>
  </si>
  <si>
    <t>PEP-UP, INC.</t>
  </si>
  <si>
    <t>MEAD &amp; HUNT INC</t>
  </si>
  <si>
    <t>ENVIROCORP, INC.</t>
  </si>
  <si>
    <t>GEORGE S COYNE CHEMICAL</t>
  </si>
  <si>
    <t>JAMES BRADFORD FARM TRUST</t>
  </si>
  <si>
    <t>JESSE JONES FARM TRUST</t>
  </si>
  <si>
    <t>DELL MARKETING L P</t>
  </si>
  <si>
    <t>ISLAND TECH SERVICES LLC</t>
  </si>
  <si>
    <t>SOMERSET WELL DRILLING CO</t>
  </si>
  <si>
    <t>INTERCOASTAL TRADING INC.</t>
  </si>
  <si>
    <t>HACH COMPANY</t>
  </si>
  <si>
    <t>TUCKAHOE UNDERGROUND LLC</t>
  </si>
  <si>
    <t>METRO RECREATION INC</t>
  </si>
  <si>
    <t>UNIFIRST CORPORATION</t>
  </si>
  <si>
    <t>SFS TOOLS AND SAFETY LLC</t>
  </si>
  <si>
    <t>USA BLUEBOOK</t>
  </si>
  <si>
    <t>UNITED STATES POSTAL SERVICE</t>
  </si>
  <si>
    <t>MONTROSE AIR QUALITY SERVICES, LLS</t>
  </si>
  <si>
    <t>MARYLAND DEPT OF ASSESSMENTS &amp; TAXATION</t>
  </si>
  <si>
    <t>BEARING CONSTRUCTION INC</t>
  </si>
  <si>
    <t>NOYES MICROSYSTEMS INC</t>
  </si>
  <si>
    <t>DEPARTMENT OF ASSESSMENTS AND TAXATION</t>
  </si>
  <si>
    <t>WATER TESTING LABS</t>
  </si>
  <si>
    <t>HEATHER KISER</t>
  </si>
  <si>
    <t>ZY PYROTECHNICS LLC</t>
  </si>
  <si>
    <t>GLOBAL RENTAL CO INC</t>
  </si>
  <si>
    <t>HAUN ENVIRONMENTAL CONSULTING INC</t>
  </si>
  <si>
    <t>GRAVES TREE SERVICES</t>
  </si>
  <si>
    <t>DSLRPros</t>
  </si>
  <si>
    <t>CODY COMPUTER SERVICES</t>
  </si>
  <si>
    <t>HARVEST TECHNOLOGY LLC</t>
  </si>
  <si>
    <t>UNITED ENERGY TRADING LLC</t>
  </si>
  <si>
    <t>VERIZON-000014448231</t>
  </si>
  <si>
    <t>ICE CONCEPTS INC</t>
  </si>
  <si>
    <t>AERIAL CRANE CO INC.</t>
  </si>
  <si>
    <t>AFLAC</t>
  </si>
  <si>
    <t>QUADIENT FINANCE USA, INC</t>
  </si>
  <si>
    <t>UNIVAR SOLUTIONS USA LLC</t>
  </si>
  <si>
    <t>NAPA AUTO PARTS</t>
  </si>
  <si>
    <t>SEAL TECH ENTERPRISES INC</t>
  </si>
  <si>
    <t>EKM LAW, PLLC</t>
  </si>
  <si>
    <t>RICHARD D BALDWIN</t>
  </si>
  <si>
    <t>STAPLES BUSINESS CREDIT</t>
  </si>
  <si>
    <t>MIDDLE DEPARTMENT INSPECTION AGENCY</t>
  </si>
  <si>
    <t>BRIAN WROTEN</t>
  </si>
  <si>
    <t>DECATUR INVESTMENTS INC</t>
  </si>
  <si>
    <t>ATLANTIC HOTEL</t>
  </si>
  <si>
    <t>CAFE BERLIN</t>
  </si>
  <si>
    <t>GREAT AMERICA FINANCIAL</t>
  </si>
  <si>
    <t>RICKY JARMON</t>
  </si>
  <si>
    <t>NITV FEDERAL SERVICES LLC</t>
  </si>
  <si>
    <t>APPLIED CONCEPTS, INC.</t>
  </si>
  <si>
    <t>SCARBOROUGH OIL CO INC</t>
  </si>
  <si>
    <t>MD DEPARTMENT OF AGRICULTURE</t>
  </si>
  <si>
    <t>AERZEN USA CORPORATION</t>
  </si>
  <si>
    <t>BEHIND THE LINE INC</t>
  </si>
  <si>
    <t>GENERAL REFRIGERATION CO.</t>
  </si>
  <si>
    <t>VA MD &amp; DE ASSOC OF ELECTRIC COOPERATIVES</t>
  </si>
  <si>
    <t>GOOD BOY MANUFACTURING LLC</t>
  </si>
  <si>
    <t>LEXIPOL LLC</t>
  </si>
  <si>
    <t>PHILLIPS SIGNS</t>
  </si>
  <si>
    <t>FRONTLINE MOBILE TECH LLC</t>
  </si>
  <si>
    <t>AQUALAW PLC</t>
  </si>
  <si>
    <t>MML POLICE EXECUTIVE ASSOCIATION</t>
  </si>
  <si>
    <t>YODER OVERHEAD DOOR COMPANY</t>
  </si>
  <si>
    <t>ALYSSA MALOOF PHOTOGRAPHY</t>
  </si>
  <si>
    <t>CJIS-CR</t>
  </si>
  <si>
    <t>OFFICE OF HOME ENERGY PROGRAM</t>
  </si>
  <si>
    <t>ASHTON WELDING</t>
  </si>
  <si>
    <t>UNSCENE PRODUCTIONS</t>
  </si>
  <si>
    <t>FLAG PUBLICATIONS INC</t>
  </si>
  <si>
    <t>SHOCKLEY COLLIN</t>
  </si>
  <si>
    <t>AFFORDABLE BUSINESS SYSTEMS</t>
  </si>
  <si>
    <t>HITCHENS TIRE SERVICE</t>
  </si>
  <si>
    <t>AE MOORE JANITORIAL INC</t>
  </si>
  <si>
    <t>SHERWOOD-LOGAN ASSOCIATION INC.</t>
  </si>
  <si>
    <t>MAIL MOVERS</t>
  </si>
  <si>
    <t>HOPE UNIFORM &amp; SECURITY PRODUCTS</t>
  </si>
  <si>
    <t>ATLANTIC TRAFFIC SAFETY INC</t>
  </si>
  <si>
    <t>GROUND CONTROL TOURING INC</t>
  </si>
  <si>
    <t>CHESAPEAKE ENVIRONMENTAL SERVICES LLC</t>
  </si>
  <si>
    <t>TOURS ENTERTAINMENT AMUSEMENT MANAGEMENT LLC</t>
  </si>
  <si>
    <t>CHESAPEAKE UTILITIES CORPORATION &amp; SUBS</t>
  </si>
  <si>
    <t>BULLETPROOF SOLUTIONS INC</t>
  </si>
  <si>
    <t>ATLANTIC TACTICAL INC</t>
  </si>
  <si>
    <t>SANDPIPER ENERGY INC</t>
  </si>
  <si>
    <t>SALEH NATALIE</t>
  </si>
  <si>
    <t>QUADIENT LEASING USA INC</t>
  </si>
  <si>
    <t>ATLANTIC TRACTOR</t>
  </si>
  <si>
    <t>REAL PROPERTY MAINTENANCE LLC</t>
  </si>
  <si>
    <t>GLOBAL PUBLIC SAFETY LLC</t>
  </si>
  <si>
    <t>SELBYVILLE TRACTOR &amp; EQUIPMENT INC</t>
  </si>
  <si>
    <t>BAY FOUR LLC</t>
  </si>
  <si>
    <t>ISAACS &amp; ASSOCIATES</t>
  </si>
  <si>
    <t>VERIZON WIRELESS-720117503-00001</t>
  </si>
  <si>
    <t>WASHINGTON NATIONAL INSURANCE COMPANY</t>
  </si>
  <si>
    <t>ROY CASE INC</t>
  </si>
  <si>
    <t>TAYLOR OIL COMPANY</t>
  </si>
  <si>
    <t>WEST OCEAN CITY ILLNESS &amp; INJURY CENTER</t>
  </si>
  <si>
    <t>EASTERN SHORE FOREST PRODUCTS INC</t>
  </si>
  <si>
    <t>FASTENAL</t>
  </si>
  <si>
    <t>JOHN'S AUTO BODY</t>
  </si>
  <si>
    <t>COLLINS JESSICA</t>
  </si>
  <si>
    <t>R D GRIER &amp; SONS</t>
  </si>
  <si>
    <t>PPC LUBRICANTS</t>
  </si>
  <si>
    <t>UNIVERSITY OF MARYLAND</t>
  </si>
  <si>
    <t>PITTSVILLE MOTORS</t>
  </si>
  <si>
    <t>RANDY DAVIS</t>
  </si>
  <si>
    <t>CAREFLEX LLC</t>
  </si>
  <si>
    <t>THE GUN SHOP</t>
  </si>
  <si>
    <t>ACCURATE CALIBRATION SERVICES</t>
  </si>
  <si>
    <t>FULL MOON ENTERTAINMENT SERVICES LLC</t>
  </si>
  <si>
    <t>SOUTHEASTERN TRANSFORMER CO, INC</t>
  </si>
  <si>
    <t>TROJAN TECHNOLOGIES CORP</t>
  </si>
  <si>
    <t>MID-ATLANTIC WASTE SYSTEMS</t>
  </si>
  <si>
    <t>ONSOLVE INTERMEDIATE HOLDING COMPANY</t>
  </si>
  <si>
    <t>DEELEY INSURANCE GROUP</t>
  </si>
  <si>
    <t>MCGEE FENCE LLC</t>
  </si>
  <si>
    <t>TRACTOR SUPPLY CO</t>
  </si>
  <si>
    <t>CENTRAL IRRIGATION SUPPLY INC</t>
  </si>
  <si>
    <t>OCEAN BREEZE</t>
  </si>
  <si>
    <t>ABSOLUTE SECURITY GROUP INC</t>
  </si>
  <si>
    <t>PHOENIX DISTRIBUTORS</t>
  </si>
  <si>
    <t>HID GLOBAL CORPORATION</t>
  </si>
  <si>
    <t>CHEMSEARCH</t>
  </si>
  <si>
    <t>WOR WIC COMMUNITY COLLEGE</t>
  </si>
  <si>
    <t>GEORGE FREDERICK EGGERS</t>
  </si>
  <si>
    <t>CIVICPLUS LLC</t>
  </si>
  <si>
    <t>SHORITE CONTROL JOHN FUNK JR INC</t>
  </si>
  <si>
    <t>FIRE PROTECTIVE SERVICE</t>
  </si>
  <si>
    <t>ATLANTIC PUMPING INC.</t>
  </si>
  <si>
    <t>INTERCON TRUCK OF BALTIMORE</t>
  </si>
  <si>
    <t>SUPERIOR PAVING CORP</t>
  </si>
  <si>
    <t>GREENLAW SITE AND STORMWATER LLC</t>
  </si>
  <si>
    <t>FLEET TITANS LLC</t>
  </si>
  <si>
    <t>BEACON ELECTRIC INC</t>
  </si>
  <si>
    <t>TJ / H2B ANALYTICAL SERVICES USA, LLC</t>
  </si>
  <si>
    <t>EASTERN SURPLUS &amp; EQUIPMENT CO</t>
  </si>
  <si>
    <t>PIPING &amp; CORROSION SPECIALTIES INC</t>
  </si>
  <si>
    <t>BARCO PRODUCTS LLC</t>
  </si>
  <si>
    <t>CROPPERS INC</t>
  </si>
  <si>
    <t>GALLS LLC</t>
  </si>
  <si>
    <t>J &amp; A BOTTLELESS WATER COOLERS INC</t>
  </si>
  <si>
    <t>CINTAS FIRST AID &amp; SAFETY</t>
  </si>
  <si>
    <t>US BANK EQUIPMENT FINANCE</t>
  </si>
  <si>
    <t>CHARGEPOINT INC</t>
  </si>
  <si>
    <t>PENINSULA AUTO &amp; TRUCK PARTS, INC</t>
  </si>
  <si>
    <t>TOM SHOLTIS</t>
  </si>
  <si>
    <t>EAST JORDAN IRON WORKS, INC.</t>
  </si>
  <si>
    <t>MILES PARTNERSHIP LLLP</t>
  </si>
  <si>
    <t>TRANSAMERCIA</t>
  </si>
  <si>
    <t>ENVIREP, INC.</t>
  </si>
  <si>
    <t>ARCTIC HEATING &amp; AIR</t>
  </si>
  <si>
    <t>EASTERN SHORE MOBILE DRUG &amp; ALCOHOL TESTING LLC</t>
  </si>
  <si>
    <t>HERC RENTALS INC</t>
  </si>
  <si>
    <t>COUNTYWEBSITE.COM</t>
  </si>
  <si>
    <t>QUILL CORP.</t>
  </si>
  <si>
    <t>GILLESPIE PRECAST LLC</t>
  </si>
  <si>
    <t>FLEET SERVICES CO</t>
  </si>
  <si>
    <t>AQUA-AEROBIC SYSTEMS INCORP</t>
  </si>
  <si>
    <t>CHANTAL GARTNER</t>
  </si>
  <si>
    <t>FEEDWATER TREATMENT SYSTEMS, INC.</t>
  </si>
  <si>
    <t>ARTISTIC BRONZE</t>
  </si>
  <si>
    <t>ULINE</t>
  </si>
  <si>
    <t>BRASURE'S PEST CONTROL INC</t>
  </si>
  <si>
    <t>THE EDELWEISS BAND</t>
  </si>
  <si>
    <t>MARYLAND DEPT OF THE ENVIRONMENT</t>
  </si>
  <si>
    <t>GOVERNMENT FINANCE OFFICERS ASSOCIATION</t>
  </si>
  <si>
    <t>VISION METERING</t>
  </si>
  <si>
    <t>REESE TRANSPORTATION</t>
  </si>
  <si>
    <t>MD DC UTILITY ASSOCIATION</t>
  </si>
  <si>
    <t>EVERETT A SPELLS</t>
  </si>
  <si>
    <t>MDGFOA</t>
  </si>
  <si>
    <t>STATE VENTURES LLC</t>
  </si>
  <si>
    <t>JAMES MILLER</t>
  </si>
  <si>
    <t>BELAIR ROAD SUPPLY</t>
  </si>
  <si>
    <t>RACE TRACK AUTO BODY &amp; MARINE</t>
  </si>
  <si>
    <t>DOVER PLUMBING</t>
  </si>
  <si>
    <t>MARYLAND INDUSTRIAL TRUCKS, INC.</t>
  </si>
  <si>
    <t>BERLIN FOP LODGE 136</t>
  </si>
  <si>
    <t>VERIZON BUSINESS</t>
  </si>
  <si>
    <t>DPSCS - ITCD</t>
  </si>
  <si>
    <t>ABC PRINTERS INC</t>
  </si>
  <si>
    <t>FORTUNE BRIAN</t>
  </si>
  <si>
    <t>PITCHED MEDIA</t>
  </si>
  <si>
    <t>ROMMEL'S ACE HOME CENTER</t>
  </si>
  <si>
    <t>KEEN COMPRESS GAS</t>
  </si>
  <si>
    <t>BLUE PEAK LOGIC INC</t>
  </si>
  <si>
    <t>IAN JANES</t>
  </si>
  <si>
    <t>ETSI</t>
  </si>
  <si>
    <t>UNITED WAY OF THE EASTERN SHORE</t>
  </si>
  <si>
    <t>JOHN FUNK JR INC T/A SHORITE CONTROLLS</t>
  </si>
  <si>
    <t>ROBERT CHREST</t>
  </si>
  <si>
    <t>4IMPRINT</t>
  </si>
  <si>
    <t>HARRIS CORPORATION-PSPC</t>
  </si>
  <si>
    <t>FISHER SCIENTIFIC</t>
  </si>
  <si>
    <t>ACTION ISLAND GRAPHICS</t>
  </si>
  <si>
    <t>SHORITE CONTROLS LLC</t>
  </si>
  <si>
    <t>ZEP SALES &amp; SERVICE</t>
  </si>
  <si>
    <t>FIDELITY POWER SYSTEMS</t>
  </si>
  <si>
    <t>VALERIE J MANN</t>
  </si>
  <si>
    <t>FLEETPRIDE</t>
  </si>
  <si>
    <t>AMAZON CAPITAL SERVICES</t>
  </si>
  <si>
    <t>EASTERN SHORE COFFEE</t>
  </si>
  <si>
    <t>HOLBROOK ENVIRONMENTAL INC</t>
  </si>
  <si>
    <t>OCEAN CITY PIPES AND DRUMS</t>
  </si>
  <si>
    <t>RADIO OCEAN CITY</t>
  </si>
  <si>
    <t>EMBLEM ENTERPRISES IN</t>
  </si>
  <si>
    <t>WELLS IVY</t>
  </si>
  <si>
    <t>BMI</t>
  </si>
  <si>
    <t>MD CUSTOM PROMOS</t>
  </si>
  <si>
    <t>LISA ANDERSON</t>
  </si>
  <si>
    <t>STEPHEN M FRENE</t>
  </si>
  <si>
    <t>ARUSA BABU ISLAM</t>
  </si>
  <si>
    <t>ACRISURE MID-ATLANTIC PARTNERS INSURANCE SERVICES LLC</t>
  </si>
  <si>
    <t>R J LOCK &amp; SECURITY</t>
  </si>
  <si>
    <t>RICKARDS NICOLAS</t>
  </si>
  <si>
    <t>CHESAPEAKE TELEPHONE SYSTEMS INC</t>
  </si>
  <si>
    <t>CINTAS RUGS</t>
  </si>
  <si>
    <t>SUN SIGNS</t>
  </si>
  <si>
    <t>COLLINS RYAN</t>
  </si>
  <si>
    <t>VERIZON-000718605643</t>
  </si>
  <si>
    <t>JESSICA HALL</t>
  </si>
  <si>
    <t>GRAVES UNIFORM</t>
  </si>
  <si>
    <t>OMNISITE</t>
  </si>
  <si>
    <t>DELAWARE ELEVATOR SERVICE INC</t>
  </si>
  <si>
    <t>LIGHTSABER PROMOTIONS INC</t>
  </si>
  <si>
    <t>WORCESTER COUNTY</t>
  </si>
  <si>
    <t>BRAGG MERLE</t>
  </si>
  <si>
    <t>FISHER ROBERT</t>
  </si>
  <si>
    <t>ED SUPPLY CO</t>
  </si>
  <si>
    <t>NORTHWEST LINEMAN COLLEGE</t>
  </si>
  <si>
    <t>DESERT SNOW</t>
  </si>
  <si>
    <t>CLICKBID LLC</t>
  </si>
  <si>
    <t>VERIZON-850462866001-13</t>
  </si>
  <si>
    <t>HUNTER CALEB</t>
  </si>
  <si>
    <t>PENINSULA DRY CLEANERS, INC</t>
  </si>
  <si>
    <t>HOLT PAPER CO.</t>
  </si>
  <si>
    <t>GARDEN ARTISANS, LLC</t>
  </si>
  <si>
    <t>SOLAR ENERGY SERVICES INC</t>
  </si>
  <si>
    <t>GORFINKEL SARA P</t>
  </si>
  <si>
    <t>J &amp; J CHEMICALS CO</t>
  </si>
  <si>
    <t>THE DEPT OF PUBLIC SAFETY &amp; CORRECTIONAL SVC</t>
  </si>
  <si>
    <t>HARRINGTON INDUSTRIAL PLASTIC LLC</t>
  </si>
  <si>
    <t>GETAWAYS ON DISPLAY INC</t>
  </si>
  <si>
    <t>BRYAN DOUGLAS RUSSO</t>
  </si>
  <si>
    <t>BRENDA J KOLAR</t>
  </si>
  <si>
    <t>WISE GUYS POLICE TRAINING AND SERVICES LLC</t>
  </si>
  <si>
    <t>MCWILLIAMS CHARLES</t>
  </si>
  <si>
    <t>DUNCAN RICHARD</t>
  </si>
  <si>
    <t>MARYLAND MUNICIPAL LEAGUE</t>
  </si>
  <si>
    <t>EBKE MATTHEW</t>
  </si>
  <si>
    <t>PFALLER MEGHAN</t>
  </si>
  <si>
    <t>CITY OF MANASSAS</t>
  </si>
  <si>
    <t>AMERICAN TESTING AND INSPECTION SERVICES LLC</t>
  </si>
  <si>
    <t>MARYLAND RETAILERS ALLIANCE INC</t>
  </si>
  <si>
    <t>LOWER SHORE LAND TRUST</t>
  </si>
  <si>
    <t>CARLOS MIR</t>
  </si>
  <si>
    <t>TIMOTHY P HENN</t>
  </si>
  <si>
    <t>OCEAN CITY CHAMBER OF COMMERCE</t>
  </si>
  <si>
    <t>ST PAULS EPISOPAL CHURCH</t>
  </si>
  <si>
    <t>TRI-COUNTY COUNCIL FOUNDATION</t>
  </si>
  <si>
    <t>ONE CALL CONCEPTS, INC.</t>
  </si>
  <si>
    <t>ACE PRINTING AND MAILING</t>
  </si>
  <si>
    <t>LLOYD KEVIN</t>
  </si>
  <si>
    <t>ESAM</t>
  </si>
  <si>
    <t>WORCESTER CO. BOARD OF ED</t>
  </si>
  <si>
    <t>CARLTON SCALE</t>
  </si>
  <si>
    <t>INTERNATIONAL ASSOC OF CHIEFS OF POLICE</t>
  </si>
  <si>
    <t>SHELBY TRUCKING CO INC</t>
  </si>
  <si>
    <t>SHARE CORPORATION</t>
  </si>
  <si>
    <t>MAGLOCLEN</t>
  </si>
  <si>
    <t>VICTORIA DIXON</t>
  </si>
  <si>
    <t>DELAWARE BEACH LIFE</t>
  </si>
  <si>
    <t>TELVUE CORPORATION</t>
  </si>
  <si>
    <t>EASTERN LIFT TRUCK CO, INC</t>
  </si>
  <si>
    <t>PILOT INSTITUTE LLC</t>
  </si>
  <si>
    <t>DAVID C GASKILL ATTORNEY AT LAW</t>
  </si>
  <si>
    <t>BUNTINGS GARAGE INC</t>
  </si>
  <si>
    <t>TIGER TOUGH</t>
  </si>
  <si>
    <t>INTEGRIS LLC</t>
  </si>
  <si>
    <t>DELMARVA AUTO GLASS</t>
  </si>
  <si>
    <t>SHERWIN-WILLIAMS CO.</t>
  </si>
  <si>
    <t>SHERRY A JUSTICE</t>
  </si>
  <si>
    <t>ZACHARY T HALL</t>
  </si>
  <si>
    <t>THEODORE JASON GELLETLY</t>
  </si>
  <si>
    <t>LAWRENCE TIM</t>
  </si>
  <si>
    <t>MARYLAND COASTAL BAYS FOUNDATION</t>
  </si>
  <si>
    <t>EAST TO WEST EMBROIDERY &amp; DESIGN</t>
  </si>
  <si>
    <t>RAYNE'S SAND &amp; GRAVEL</t>
  </si>
  <si>
    <t>LESMA</t>
  </si>
  <si>
    <t>AMERICAN SAFETY UTILITY</t>
  </si>
  <si>
    <t>DAVIS JR DAVID</t>
  </si>
  <si>
    <t>THOMAS ZEMBETIS</t>
  </si>
  <si>
    <t>JAMES MAPP</t>
  </si>
  <si>
    <t>JENSEN KELSEY</t>
  </si>
  <si>
    <t>MAYOR ZACK TYNDALL</t>
  </si>
  <si>
    <t>BEAR INDUSTRIES INC</t>
  </si>
  <si>
    <t>LEGAL SHIELD</t>
  </si>
  <si>
    <t>ROGELIO RODRIQUEZ-PEREZ</t>
  </si>
  <si>
    <t>BURKEY JACOB</t>
  </si>
  <si>
    <t>WIENHOLD AUGUST J.</t>
  </si>
  <si>
    <t>LATCHUM JAMES</t>
  </si>
  <si>
    <t>MILLER PAUL</t>
  </si>
  <si>
    <t>ADVANCE AUTO PARTS</t>
  </si>
  <si>
    <t>CAMPBELL MICHAEL</t>
  </si>
  <si>
    <t>PARKINSON ALAN</t>
  </si>
  <si>
    <t>McMASTER-CARR</t>
  </si>
  <si>
    <t>SIGNS ILLUSTRATED</t>
  </si>
  <si>
    <t>CAMPBELL JOE</t>
  </si>
  <si>
    <t>MARYLAND MUNICIPAL ATTORNEYS ASSOCIATION</t>
  </si>
  <si>
    <t>PLAYGROUND GUARDIAN LLC</t>
  </si>
  <si>
    <t>DOWNING ARNOLD</t>
  </si>
  <si>
    <t>ADVANCED RUBBER PRODUCTS DIV</t>
  </si>
  <si>
    <t>DRIVEN OVER GIVEN INC</t>
  </si>
  <si>
    <t>NATIONAL MAIN STREET CENTER INC</t>
  </si>
  <si>
    <t>WORCESTER COUNTY ART COUNCIL</t>
  </si>
  <si>
    <t>NCSI</t>
  </si>
  <si>
    <t>DUKES KEITH ALAN</t>
  </si>
  <si>
    <t>MARSHALL AVERY</t>
  </si>
  <si>
    <t>DAVIS DYLAN</t>
  </si>
  <si>
    <t>MATHESON TRI-GAS INC</t>
  </si>
  <si>
    <t>LAUREN BAUER</t>
  </si>
  <si>
    <t>JUDY BENTON</t>
  </si>
  <si>
    <t>SOPHIA SEUFERT</t>
  </si>
  <si>
    <t>ELLIOTT ISLAND VFC</t>
  </si>
  <si>
    <t>POWELLVILLE UNITED METTHODIST CHURCH</t>
  </si>
  <si>
    <t>XERCES SOCIETY INC</t>
  </si>
  <si>
    <t>LINDA JOHNSTON</t>
  </si>
  <si>
    <t>COARD CHRIS</t>
  </si>
  <si>
    <t>WEST BRANDON</t>
  </si>
  <si>
    <t>BROWN LAURA</t>
  </si>
  <si>
    <t>DOWNING BERNITA G</t>
  </si>
  <si>
    <t>DARRELL TAYLOR</t>
  </si>
  <si>
    <t>FLEET PRIDE</t>
  </si>
  <si>
    <t>MARYLAND MUNICIPAL CLERKS ASSOCIATION</t>
  </si>
  <si>
    <t>CAM BUNTING</t>
  </si>
  <si>
    <t>HANNAH BRITTINGHAM</t>
  </si>
  <si>
    <t>BRITTNEY TOMSKY</t>
  </si>
  <si>
    <t>JARUIS FOREMAN</t>
  </si>
  <si>
    <t>SHERRY BARFIELD</t>
  </si>
  <si>
    <t>PETER MUELLER</t>
  </si>
  <si>
    <t>CHELSEY MILES</t>
  </si>
  <si>
    <t>KRISTIL WHEELER</t>
  </si>
  <si>
    <t>HILARY YOUNG</t>
  </si>
  <si>
    <t>JAMESHA PURNELL</t>
  </si>
  <si>
    <t>MARYLAND MUNICIPAL LEAGUE PKS &amp; RECREATION ASSOC</t>
  </si>
  <si>
    <t>WILLIAM HARRIS</t>
  </si>
  <si>
    <t>DONALD SMACK</t>
  </si>
  <si>
    <t>BEN SMITH</t>
  </si>
  <si>
    <t>SARAH HOOPER</t>
  </si>
  <si>
    <t>ST MARTINS FELLOWSHIP CHURCH</t>
  </si>
  <si>
    <t>BRYCE NARANJO</t>
  </si>
  <si>
    <t>KARA NUZBACK</t>
  </si>
  <si>
    <t>WILLIAM HOLLAND</t>
  </si>
  <si>
    <t>LAUREN MCCARTHY</t>
  </si>
  <si>
    <t>MATTHEW SWEENEY</t>
  </si>
  <si>
    <t>ZEBRINA RHEM</t>
  </si>
  <si>
    <t>JACQUELINE JOHNSON</t>
  </si>
  <si>
    <t>WILLIAM BURKE</t>
  </si>
  <si>
    <t>ANDREA KOMINOS</t>
  </si>
  <si>
    <t>BETH SISE</t>
  </si>
  <si>
    <t>ASHLEY BRIGHT</t>
  </si>
  <si>
    <t>CAITLIN SYNDER</t>
  </si>
  <si>
    <t>LYNETTE ROSCOE</t>
  </si>
  <si>
    <t>TOWNSEND MICHELLE</t>
  </si>
  <si>
    <t>WORCESTER COUNTY ECONOMIC DEVELOPMENT</t>
  </si>
  <si>
    <t>KELSEY JENSEN</t>
  </si>
  <si>
    <t>CENTRIC BUSINESS SYSTEMS</t>
  </si>
  <si>
    <t>RJ LOCK &amp; SECURITY</t>
  </si>
  <si>
    <t>Vendor (as printed)</t>
  </si>
  <si>
    <t>Amount</t>
  </si>
  <si>
    <t>Description</t>
  </si>
  <si>
    <t>1NTEGER CORE SECURITY</t>
  </si>
  <si>
    <t>ABC PRINTERS</t>
  </si>
  <si>
    <t>ADDTL 2025 DESK CALENDARS</t>
  </si>
  <si>
    <t>AC SCHULTES OF DELAWARE</t>
  </si>
  <si>
    <t>PLUGGING THE CELLAR WELL #2</t>
  </si>
  <si>
    <t>REPLACEMENT HEADLIGHTS FOR VEHICLE #74 F-450</t>
  </si>
  <si>
    <t>ALTEC INDUSTRIES</t>
  </si>
  <si>
    <t>BEACON LIGHT LED AMBER BLACKOUT LENS (VEH.# 3)</t>
  </si>
  <si>
    <t>ANIXTER POWER SOLUTIONS</t>
  </si>
  <si>
    <t>GE CURRENT TRANSFORMERS JAK-OC-400:5 STYLE</t>
  </si>
  <si>
    <t>AQUALAW</t>
  </si>
  <si>
    <t>REVIEW DISCHARGE PERMIT</t>
  </si>
  <si>
    <t>DEC FY 25 AT&amp;T MOBILITY TOWN ISSUED DEVICES NOV 2024</t>
  </si>
  <si>
    <t>ATLANTIC MACHINERY</t>
  </si>
  <si>
    <t>ENZ NOZZLES JETVAC</t>
  </si>
  <si>
    <t>CARTER MACHINERY COMPANY</t>
  </si>
  <si>
    <t>G3520 PM MAINTENANCE POWER PLANT</t>
  </si>
  <si>
    <t>CATO OIL</t>
  </si>
  <si>
    <t>TOWN VEHICLE GAS</t>
  </si>
  <si>
    <t>CHOPTANK ELECTRIC COOPERATIVE</t>
  </si>
  <si>
    <t>DEC FY 25 ELECTRIC UTILITY SERVICE SPRAY SITE</t>
  </si>
  <si>
    <t>JAN FY 25 INTERNET &amp; DIGITAL SERVICES / DOWNTOWN WIFI (multiple invoices)</t>
  </si>
  <si>
    <t>BUSINESS TELEPHONE SERVICES</t>
  </si>
  <si>
    <t>PER DIEM MEALS MTAP #8 METER SCHOOL PALMYRA</t>
  </si>
  <si>
    <t>WATER PARTS</t>
  </si>
  <si>
    <t>ELECTRIC DEPARTMENT EMPLOYEE WINTER BENNIES</t>
  </si>
  <si>
    <t>EASTERN SHORE MOBILE DRUG &amp; ALCOHOL TESTING</t>
  </si>
  <si>
    <t>PRE EMPLOYMENT DRUG SCREENING AHLERS</t>
  </si>
  <si>
    <t>ENVIREP</t>
  </si>
  <si>
    <t>ANNUAL SERVICE GORMAN RUPP INFLUENT PUMPS</t>
  </si>
  <si>
    <t>ENVIROCORP</t>
  </si>
  <si>
    <t>ANNUAL HYDRANT SAMPLES / MONITORING WELL SAMPLES</t>
  </si>
  <si>
    <t>FLAG PUBLICATIONS</t>
  </si>
  <si>
    <t>EVENT ADVERTISING / ADMINISTRATION ADVERTISING</t>
  </si>
  <si>
    <t>GALLS</t>
  </si>
  <si>
    <t>NAME TAGS FOR WEST</t>
  </si>
  <si>
    <t>GOODY HILL GROUND WORK</t>
  </si>
  <si>
    <t>HARRISON AVE WATER MAIN RETAINAGE</t>
  </si>
  <si>
    <t>QUARTERLY COPIER MACHINE / COPIER LEASE AGREEMENTS</t>
  </si>
  <si>
    <t>DISSOLVED OXYGEN CONTROLLS</t>
  </si>
  <si>
    <t>PROFESSIONAL DESIGN SERVICES TOWN HALL RENOVATION</t>
  </si>
  <si>
    <t>HERC RENTALS</t>
  </si>
  <si>
    <t>MANLIFT RENTAL</t>
  </si>
  <si>
    <t>HILL'S ELECTRIC MOTOR SERVICE</t>
  </si>
  <si>
    <t>SERVICE CALL PLANT</t>
  </si>
  <si>
    <t>INTERCOASTAL TRADING</t>
  </si>
  <si>
    <t>CAUSTIC</t>
  </si>
  <si>
    <t>J &amp; A BOTTLELESS WATER COOLERS</t>
  </si>
  <si>
    <t>TOWN HALL WATER COOLERS</t>
  </si>
  <si>
    <t>BOUNDS PAYMENT JAN FY 25 JAMES BOUNDS BOND SPRAY SITE</t>
  </si>
  <si>
    <t>PER DIEM ATTEND DAVID DAVIS METER SCHOOL GRADUATION PALMYRA</t>
  </si>
  <si>
    <t>LEXIPOL</t>
  </si>
  <si>
    <t>ANNUAL POLICY MANUAL AND TRAINING BULLETINS</t>
  </si>
  <si>
    <t>BERLIN EFFLUENT STORAGE &amp; SPRAY IRR</t>
  </si>
  <si>
    <t>NATIONWIDE EMPLOYEE CONTRIBUTIONS DEFERRED COMP (PPE 12/29/2024)</t>
  </si>
  <si>
    <t>PRE EMPLOYMENT BACKGROUND AHLERS</t>
  </si>
  <si>
    <t>ONE CALL CONCEPTS</t>
  </si>
  <si>
    <t>MISS UTILITY TICKETS</t>
  </si>
  <si>
    <t>PIPING &amp; CORROSION SPECIALTIES</t>
  </si>
  <si>
    <t>P PLT FUEL LINE ANNUAL CATHODIC PROTECTION SURVEY</t>
  </si>
  <si>
    <t>QUADIENT FINANCE USA</t>
  </si>
  <si>
    <t>1/1/25 POSTAGE TOWN WIDE</t>
  </si>
  <si>
    <t>SANDPIPER ENERGY</t>
  </si>
  <si>
    <t>DEC FY 25 NATURAL GAS POLICE DEPT / G3520 NATURAL GAS SUPPLY POWER PLANT</t>
  </si>
  <si>
    <t>SFS TOOLS AND SAFETY</t>
  </si>
  <si>
    <t>RUBBER GOODS TESTING AND REPLACEMENTS</t>
  </si>
  <si>
    <t>STUART C IRBY</t>
  </si>
  <si>
    <t>DOUBLE SIDE PERFORM TIES (INVENTORY) / HASTINGS BOLT CUTTERS</t>
  </si>
  <si>
    <t>IT SERVICES CARDS COMPLETE / OFFICE 365 AGREEMENT LICENSING</t>
  </si>
  <si>
    <t>TJ / H2B ANALYTICAL SERVICES USA</t>
  </si>
  <si>
    <t>ANNUAL OIL TESTING OF SUBSTATION TRANSFORMERS</t>
  </si>
  <si>
    <t>TOURS ENTERTAINMENT AMUSEMENT MANAGEMENT</t>
  </si>
  <si>
    <t>GRANT FUNDED MIP STAGES FOR OKTOBERFEST PARADE NYE</t>
  </si>
  <si>
    <t>TRANSAMERICA</t>
  </si>
  <si>
    <t>TRANSAMERICA EE PAID SUPPLEMENTAL INS.</t>
  </si>
  <si>
    <t>UNIFIRST</t>
  </si>
  <si>
    <t>UNIFORMS FOR PUBLIC WORKS CREWS / WATER RESOURCES KNIT HATS</t>
  </si>
  <si>
    <t>UNITED WAY EMPLOYEE DONATIONS/CONTRIBUTIONS (PPE 12/29/2024)</t>
  </si>
  <si>
    <t>COPIER LEASE AND CONTRACT</t>
  </si>
  <si>
    <t>BUSINESS TELEPHONE CALLS</t>
  </si>
  <si>
    <t>MDT SERVICE</t>
  </si>
  <si>
    <t>DEC FY 25 TELEPHONE SERVICE</t>
  </si>
  <si>
    <t>DEC FY 25 VERIZON TELEPHONE SERVICE 5 MILE BRANCH RD</t>
  </si>
  <si>
    <t>WASHINGTON NATIONAL EMPLOYEE PAID SUPPLEMENTAL</t>
  </si>
  <si>
    <t>PER DIEM MEALS MAIN ST NOW CONF PA</t>
  </si>
  <si>
    <t>WILLIAM E ESHAM JR</t>
  </si>
  <si>
    <t>LAND LEASE WEST AND WASHINGTON FOR PARKING</t>
  </si>
  <si>
    <t>K9 AND POLICE OFFICERS TRAINING</t>
  </si>
  <si>
    <t>ABS INK CARTRIDGES SHIRLEY'S PRINTER</t>
  </si>
  <si>
    <t>AFLAC EMPLOYEE PAID SUPPLEMENTAL INSURANCE</t>
  </si>
  <si>
    <t>COMMENTS DRAFT DISCHARGE PERMIT</t>
  </si>
  <si>
    <t>RENEWAL AGREEMENT #441297 COVERAGE THRU 1/16/26</t>
  </si>
  <si>
    <t>JAN FY 25 AT&amp;T MOBILITY TOWN ISSUED DEVICES DEC 2024</t>
  </si>
  <si>
    <t>VAC TRUCK HOSE NOZZLES</t>
  </si>
  <si>
    <t>BECKER MORGAN GROUP</t>
  </si>
  <si>
    <t>PROFESSIONAL SERVICES NEW PUBLIC WORKS FACILITY</t>
  </si>
  <si>
    <t>FEB FY 25 BENEFITMALL FEB 2025 MED DENT VIS LIFE DIS</t>
  </si>
  <si>
    <t>ANNUAL MUSIC LICENSE</t>
  </si>
  <si>
    <t>BOOTH &amp; ASSOCIATES</t>
  </si>
  <si>
    <t>PROJ 0669295.F.50 RATE SVCS P PLNT OPER REG COMPLI</t>
  </si>
  <si>
    <t>VICTORIAN STYLE STREET LIGHT POLES &amp; FIXTURES</t>
  </si>
  <si>
    <t>JAN FY 25 ELECTRIC UTILITY SERVICE SPRAY SITE</t>
  </si>
  <si>
    <t>FIRST AID SAFETY KIT AND REPLENISH</t>
  </si>
  <si>
    <t>FINGERPRINTING</t>
  </si>
  <si>
    <t>JAN FY 25 TELEVISION SERVICE POLICE DEPT</t>
  </si>
  <si>
    <t>EA ENGINEERING SCIENCE AND TECHNOLOGY PBC</t>
  </si>
  <si>
    <t>PROJ 14704-13-00-LS BOTTLE BRANCH WATERSHED</t>
  </si>
  <si>
    <t>DISTILLED WATER / DRINKING WATER &amp; WATER COOLER RENTAL</t>
  </si>
  <si>
    <t>KEYSTONE VALVE &amp; ACTUATOR SBR</t>
  </si>
  <si>
    <t>REFUND OVER CHARGED ON PAYROLL DEDUCTION SHORT TERM DIS</t>
  </si>
  <si>
    <t>INSTALL ACTUATOR ON SBR 3</t>
  </si>
  <si>
    <t>TOOLS, PARTS AND OTHER SUPPLIES / MONTHLY SUPPLIES</t>
  </si>
  <si>
    <t>CUTTINGEDGE 10' LG 1/2TK 6 WIDE TRUCK 38 / ELECTRIC BRAKE CONTROLLER</t>
  </si>
  <si>
    <t>JAN FY 25 LEGAL SHIELD EMPLOYEE PAID</t>
  </si>
  <si>
    <t>PER DIEM LINEMAN TRAINING LTAP 5 MEALS INCIDENTALS</t>
  </si>
  <si>
    <t>REPAIR PARTS FOR VEHICLES / MOWERS SERVICE</t>
  </si>
  <si>
    <t>NATIONWIDE EMPLOYEE CONTRIBUTIONS DEFERRED COMP (PPE 01/12/2025)</t>
  </si>
  <si>
    <t>PENINSULA AUTO &amp; TRUCK PARTS</t>
  </si>
  <si>
    <t>BATTERY 74</t>
  </si>
  <si>
    <t>PENINSULA DRY CLEANERS</t>
  </si>
  <si>
    <t>DRY CLEANING SERVICE POLICE DEPT</t>
  </si>
  <si>
    <t>REIMB SAFETY BOOTS OVERALL &amp; PARKA</t>
  </si>
  <si>
    <t>INSTALL GARAGE DOOR MOTOR SPRAY SITE B</t>
  </si>
  <si>
    <t>VEHICLE REPAIRS</t>
  </si>
  <si>
    <t>#8 STONE FOR PITTS ST</t>
  </si>
  <si>
    <t>INDEPENDENT CONSULTANT PLANNING DEPT</t>
  </si>
  <si>
    <t>ESNA 200 AMP LOADBREAK ELBOWS / 27KV 100A LOADBREAK CUTOUT</t>
  </si>
  <si>
    <t>METER LOG ON</t>
  </si>
  <si>
    <t>JAN FY 25 TOWN UTILITY BILLINGS</t>
  </si>
  <si>
    <t>TYLER TECHNOLOGIES</t>
  </si>
  <si>
    <t>TYLER SOFTWARE SUPPORT</t>
  </si>
  <si>
    <t>UNIFORMS FOR PUBLIC WORKS CREWS / FIRST AID CABINETS</t>
  </si>
  <si>
    <t>UNITED WAY EMPLOYEE DONATIONS/CONTRIBUTIONS (PPE 01/12/2025)</t>
  </si>
  <si>
    <t>DOT PHYSICAL LAWRENCE</t>
  </si>
  <si>
    <t>DEC FY 25 RECYCLE REFUGE CAN PULLS AND DEMOLITIONS</t>
  </si>
  <si>
    <t>FY25 BERLIN YOUTH PROGRAM</t>
  </si>
  <si>
    <t>SUNRISE SAFETY SERVICES</t>
  </si>
  <si>
    <t>WANCO FULL MATRIX MESSAGE BOARD</t>
  </si>
  <si>
    <t>REFUND OVER PAYMENT FOR SIGNAGE</t>
  </si>
  <si>
    <t>DEC FY 25 ENVIRONMENTAL TRUST FUND REPORT</t>
  </si>
  <si>
    <t>DEC FY 25 ELECTRIC UNIVERSAL SERVICE PROGRAM FUND</t>
  </si>
  <si>
    <t>REIMB 1/21 SAFETY GLASSES</t>
  </si>
  <si>
    <t>1/19 REIMB SAFETY BOOTHS</t>
  </si>
  <si>
    <t>AE MOORE JANITORIAL</t>
  </si>
  <si>
    <t>C FOLD PAPER TOWELS / PAPER TOWELS PUBLIC WORKS</t>
  </si>
  <si>
    <t>DRUM REPLACEMENT FOR SHIRLEY'S PRINTER</t>
  </si>
  <si>
    <t>AERVOE MARKING PAINT STICKS / COLD SHRINK QT OUTDOOR TERMINATION KIT</t>
  </si>
  <si>
    <t>APPLIED CONCEPTS</t>
  </si>
  <si>
    <t>RADAR UNIT FOR TAHOE</t>
  </si>
  <si>
    <t>MARYLAND STATE RETIREMENT LEOPS SYSTEM</t>
  </si>
  <si>
    <t>CENTRAL IRRIGATION SUPPLY</t>
  </si>
  <si>
    <t>FLAGPOLE UPLIGHTING</t>
  </si>
  <si>
    <t>OIL FOR GEARBOXES</t>
  </si>
  <si>
    <t>FEB FY 25 INTERNET &amp; DIGITAL SERVICES (multiple accounts)</t>
  </si>
  <si>
    <t>CROPPERS</t>
  </si>
  <si>
    <t>TRUCK 71 REPLACE TIRES</t>
  </si>
  <si>
    <t>WEEKLY DISCHARGE SAMPLES</t>
  </si>
  <si>
    <t>ANNUAL FIRE EXTINGUISHER SERVICE CALL</t>
  </si>
  <si>
    <t>EVENT ADVERTISING</t>
  </si>
  <si>
    <t>FULL MOON ENTERTAINMENT SERVICES</t>
  </si>
  <si>
    <t>GRANT FUNDED MIP SPRING CELEBRATION ENTERTAINMENT</t>
  </si>
  <si>
    <t>GETAWAYS ON DISPLAY</t>
  </si>
  <si>
    <t>BROCHURE DISTRIBUTIONAL TO MD WELCOME CENTERS</t>
  </si>
  <si>
    <t>WATER LEAK AT CURB STOP 104 BRANCH / WEST BUCKINGHAM WATER LEAK</t>
  </si>
  <si>
    <t>GRAN TURK EQUIPMENT</t>
  </si>
  <si>
    <t>PARTS FOR SANITATION VEHICLES</t>
  </si>
  <si>
    <t>QUARTERLY FOR PW, ELEC, WR COPIER MACHINE</t>
  </si>
  <si>
    <t>PHASE 1 COMMUNITY CENTER</t>
  </si>
  <si>
    <t>GRANT FUNDED MIP FARMER MARKET PETTINGZOO MAY JUNE</t>
  </si>
  <si>
    <t>TOOLS, PARTS AND OTHER SUPPLIES</t>
  </si>
  <si>
    <t>BLEACH</t>
  </si>
  <si>
    <t>QUARTERLY RENTAL WATER COOLER</t>
  </si>
  <si>
    <t>JOHN FUNK JR T/A SHORITE CONTROLLS</t>
  </si>
  <si>
    <t>REMOVE UNUSED CONTROL BOXES</t>
  </si>
  <si>
    <t>CERT RENEWAL / OPERATOR EXAM</t>
  </si>
  <si>
    <t>MARYLAND RETAILERS ALLIANCE</t>
  </si>
  <si>
    <t>2025 MRA ANNUAL MEMBERSHIP</t>
  </si>
  <si>
    <t>MCMASTER-CARR</t>
  </si>
  <si>
    <t>HANDLE FOR LIFT STATION</t>
  </si>
  <si>
    <t>2024 MOSQUITO SPRAYING</t>
  </si>
  <si>
    <t>INSPECTIONS SERVICES</t>
  </si>
  <si>
    <t>MML PEA CONF/DUES</t>
  </si>
  <si>
    <t>PERMATEX</t>
  </si>
  <si>
    <t>NATIONWIDE EMPLOYEE CONTRIBUTIONS DEFFERED COMP</t>
  </si>
  <si>
    <t>NITV FEDERAL SERVICES</t>
  </si>
  <si>
    <t>VSA UNIT AND TRAINING</t>
  </si>
  <si>
    <t>METER &amp; LINEMAN TRAINING</t>
  </si>
  <si>
    <t>VEHICLE MAINTENANCE</t>
  </si>
  <si>
    <t>JAN FY 25 CUSTODIAL SERVICE FOR POLICE DEPARTMENT</t>
  </si>
  <si>
    <t>JAN FY 25 NATURAL GAS POLICE DEPT</t>
  </si>
  <si>
    <t>OFFICE SUPPLIES</t>
  </si>
  <si>
    <t>HASTINGS 10-467 NOSE STYLE BOLT CUTTERS</t>
  </si>
  <si>
    <t>WANCO FULL MATRIX MESSAGE BOARD INV0045179</t>
  </si>
  <si>
    <t>IT SERVICES - CARDS COMPLETE</t>
  </si>
  <si>
    <t>UNIFORMS FOR PUBLIC WORKS CREWS</t>
  </si>
  <si>
    <t>UNITED ENERGY TRADING</t>
  </si>
  <si>
    <t>NATURAL GAS TRANSPORT FEES POWER PLANT</t>
  </si>
  <si>
    <t>POSTAGE FOR BULK MAILING</t>
  </si>
  <si>
    <t>MICROTEL &amp; SUITES 500KVA TRANSFORMER</t>
  </si>
  <si>
    <t>UNITED WAY EMPLOYEE DONATIONS/CONTRIBUTIONS</t>
  </si>
  <si>
    <t>ANNUAL CAP WIN FEES</t>
  </si>
  <si>
    <t>LAB SUPPLIES</t>
  </si>
  <si>
    <t>JAN FY 25 TELEPHONE SERVICE</t>
  </si>
  <si>
    <t>JAN FY 25 VERIZON TELEPHONE SERVICE 5 MILE BRANCH RD</t>
  </si>
  <si>
    <t>JAN FY 25 VERIZON TELEPHONE SERVICE</t>
  </si>
  <si>
    <t>WASHINGTON NATIONAL EMPLOYEE PAID SUPPLEMENTAL INS.</t>
  </si>
  <si>
    <t>ANNUAL WATER TESTING</t>
  </si>
  <si>
    <t>WATER EMPLOYEE VACCINATIONS / PRE EMPLOYMENT DRUG SCREENING</t>
  </si>
  <si>
    <t>BANTAM / PROBEWELL CALIBRATION</t>
  </si>
  <si>
    <t>INSERTS FOR BUSHING WELL / FULL REEL 336.4 ALUM OVERHEAD WIRE</t>
  </si>
  <si>
    <t>POLE SAW / SERVICE MOWERS</t>
  </si>
  <si>
    <t>AXON ENTERPRISES</t>
  </si>
  <si>
    <t>ADDITIONAL BODYCAM LICENSE</t>
  </si>
  <si>
    <t>SERVICE KUBOTA</t>
  </si>
  <si>
    <t>MILWAUKEE 750 CUTTING JAWS FOR 6 TON PRESS</t>
  </si>
  <si>
    <t>DEC FY 25 RUGS &amp; SHOP TOWELS POWER PLANT</t>
  </si>
  <si>
    <t>FEB FY 25 DOWNTOWN WIFI</t>
  </si>
  <si>
    <t>DISTILLED WATER</t>
  </si>
  <si>
    <t>EKM LAW PLLC</t>
  </si>
  <si>
    <t>LEGAL SERVICES</t>
  </si>
  <si>
    <t>ADMINISTRATION ADVERTISING</t>
  </si>
  <si>
    <t>GREAT AMERICA COPIER LEASE AGREEMENT</t>
  </si>
  <si>
    <t>HILLS ELECTRIC MOTOR 356W LIFTSTATION PUMP REPAIR</t>
  </si>
  <si>
    <t>MEMBERSHIP DUES</t>
  </si>
  <si>
    <t>FEB FY 25 JAMES BOUNDS BOND SPRAY SITE</t>
  </si>
  <si>
    <t>WINTER CONF REGISTRATION AND MEMBERSHIP DUES</t>
  </si>
  <si>
    <t>POWER PLANT SUPPLIES AND MATERIAL / SPARK PLUG</t>
  </si>
  <si>
    <t>PRE EMPLOYMENT BACKGROUND</t>
  </si>
  <si>
    <t>ELECTRIC ADVANCED METERING INFRASTRUCTURE</t>
  </si>
  <si>
    <t>MISS UTILITY TICKET</t>
  </si>
  <si>
    <t>PEP-UP</t>
  </si>
  <si>
    <t>DIESEL WWTP GENERATOR</t>
  </si>
  <si>
    <t>DUMP TRUCK REPLACE BODY CONTROL MODULE / TRUCK 48 SERVICE F450</t>
  </si>
  <si>
    <t>REIMB GFOA COMMITTEE MEET WASH DC HYATT 1/26-1/28</t>
  </si>
  <si>
    <t>FIGERGLASS INSULATOR BRACKETS (RIDGE PIN)</t>
  </si>
  <si>
    <t>OFFICE 365 AGREEMENT LICENSING</t>
  </si>
  <si>
    <t>AMMUNITION</t>
  </si>
  <si>
    <t>CHEMICAL INJECTORS</t>
  </si>
  <si>
    <t>#10 WINDOW ENVELOPES CANARY</t>
  </si>
  <si>
    <t>AERIAL CRANE</t>
  </si>
  <si>
    <t>POWER PLANT LIFT #1 ENGINE EXHAUST STACK TESTING</t>
  </si>
  <si>
    <t>CREDIT MEMOBLU DEF FUEL ADDITIVE</t>
  </si>
  <si>
    <t>PROJ P.Z943368 BERLIN COSS / 2024 FINANCIAL SERVICES / RATE SVC P PLNT OPER REG COMPL</t>
  </si>
  <si>
    <t>WORK ON CONTROLS FOR WELLS</t>
  </si>
  <si>
    <t>CHESAPEAKE TELEPHONE SYSTEMS</t>
  </si>
  <si>
    <t>MIVOICE CONTRACT</t>
  </si>
  <si>
    <t>FINGERTPRINTING</t>
  </si>
  <si>
    <t>ENVIRONMENTAL TRUST FUND REPORT</t>
  </si>
  <si>
    <t>ELECTRIC UNIVEWRSAL SERVICE PROGRAM FUND</t>
  </si>
  <si>
    <t>DRINKING WATER &amp; WATER COOLER RENTAL</t>
  </si>
  <si>
    <t>POWELLTON AVE WELL 1 BLDG REPLACEMENT RFP AD</t>
  </si>
  <si>
    <t>POLYMER K290-FLX / PRAESTOL K 290 FLX</t>
  </si>
  <si>
    <t>HOPKINS CONSTRUCTION</t>
  </si>
  <si>
    <t>BROAD STREET PUMP STATION PROJECT</t>
  </si>
  <si>
    <t>PER DIEM LINEMAN TRAINING LTAP 5 SALISBURY MD</t>
  </si>
  <si>
    <t>NATIONWIDE EMPLOYEE CONTRIBUTIONS DEFFERED COMP (02/13)</t>
  </si>
  <si>
    <t>PARTS FOR VEHICLE REPAIRS</t>
  </si>
  <si>
    <t>SERVICE RANGER</t>
  </si>
  <si>
    <t>STREET SIGN &amp; NO U TRUN</t>
  </si>
  <si>
    <t>LAPTOP AND MONITORS PLANNING DIRECTOR</t>
  </si>
  <si>
    <t>TOWN UTILITY BILLINGS</t>
  </si>
  <si>
    <t>UNITED WAY EMPLOYEE DONATIONS/CONTRIBUTIONS (02/13)</t>
  </si>
  <si>
    <t>REIMB AMAZON POLICE DUTY GEAR</t>
  </si>
  <si>
    <t>POLYMER K290-FLX (APPKT03259)</t>
  </si>
  <si>
    <t>DAVIS BOWEN &amp; FRIEDEL</t>
  </si>
  <si>
    <t>PROJ 0050A002.079 WEST VIEW / PROJ 0050A002.092 ON CALL BER SIM FIBER PLN REVIEW (APPKT03265)</t>
  </si>
  <si>
    <t>REPLACEMENT BATTERY FOR VEHICLE #79</t>
  </si>
  <si>
    <t>POWER PLANT PM HVAC SYSTEM</t>
  </si>
  <si>
    <t>MARCH FY 25 BENEFITMALL MAR 2025 MED DENT VIS LIFE DIS</t>
  </si>
  <si>
    <t>KUBOTA HYDRAULIC FLUID</t>
  </si>
  <si>
    <t>STREET LIGHT FIXTURES 50 WATT LED ROADWAY LIGHTS / PHOTOCELLS</t>
  </si>
  <si>
    <t>CAREFLEX</t>
  </si>
  <si>
    <t>CAREFLEX HRA &amp; FSA ADMIN FEES</t>
  </si>
  <si>
    <t>FEB FY 25 ELECTRIC UTILITY SERVICE SPRAY SITE</t>
  </si>
  <si>
    <t>JAN RUGS &amp; SHOP TOWELS POWER PLANT</t>
  </si>
  <si>
    <t>INTERNET &amp; DIGITAL SERVICES / TELEVISION SERVICE POLICE DEPT</t>
  </si>
  <si>
    <t>REIMB CDL PERMIT TEST FEE</t>
  </si>
  <si>
    <t>DSLRPROS</t>
  </si>
  <si>
    <t>MATRICE 30T URBAN SCOUT PACKAGE</t>
  </si>
  <si>
    <t>2025 1ST QUARTER RANDOM DRUG TESTING</t>
  </si>
  <si>
    <t>WEEKLY DISCHARGE SAMPLES / MONITORING WELL SAMPLES</t>
  </si>
  <si>
    <t>FIRE EXTINGUISHER INSPECTIONS</t>
  </si>
  <si>
    <t>FRONTLINE MOBILE TECH</t>
  </si>
  <si>
    <t>PRISONER PARTITIONS FOR THREE NEW VEHICLES</t>
  </si>
  <si>
    <t>TORCH GAS</t>
  </si>
  <si>
    <t>FEB FY 25 LEGAL SHIELD EMPLOYEE PAID</t>
  </si>
  <si>
    <t>OPERATOR CERT RENEWAL / ADVERTISING FOR DISCHARGE PERMIT / OPERATOR EXAM</t>
  </si>
  <si>
    <t>MONTROSE AIR QUALITY SERVICES LLS</t>
  </si>
  <si>
    <t>STACK EMISSIONS TESTING POWER PLANT</t>
  </si>
  <si>
    <t>PARTS FOR VEHICLE REPAIRS / BATTERY</t>
  </si>
  <si>
    <t>NATIONWIDE EMPLOYEE CONTRIBUTIONS DEFFERED COMP (02/21)</t>
  </si>
  <si>
    <t>REIMB CDL PERMIT TEST FEE, DOT PHYSICAL</t>
  </si>
  <si>
    <t>JAN FY 25 NATURAL GAS POLICE DEPT / G3520 NATURAL GAS SUPPLY POWER PLANT</t>
  </si>
  <si>
    <t>SELBYVILLE TRACTOR &amp; EQUIPMENT</t>
  </si>
  <si>
    <t>SERVICE TRACTORS</t>
  </si>
  <si>
    <t>SHERWIN-WILLIAMS</t>
  </si>
  <si>
    <t>PAINT WELLHOUSE</t>
  </si>
  <si>
    <t>GALV 5/8 EYELETS STD BOX INVENTORY STOCK</t>
  </si>
  <si>
    <t>TTI</t>
  </si>
  <si>
    <t>E74 SMALL BUCKET REPAIR 2 CYLINDERS</t>
  </si>
  <si>
    <t>UNITED WAY EMPLOYEE DONATIONS/CONTRIBUTIONS (02/21)</t>
  </si>
  <si>
    <t>FEB FY 25 TELEPHONE SERVICE</t>
  </si>
  <si>
    <t>FEB FY 25 VERIZON TELEPHONE SERVICE 5 MILE BRANCH RD</t>
  </si>
  <si>
    <t>FEB FY 25 VERIZON TELEPHONE SERVICE</t>
  </si>
  <si>
    <t>PER DIEM MEALS FARMERS MKT CONF &amp; MAIN ST MEETING ELKTON MD</t>
  </si>
  <si>
    <t>JAN FY 25 RECYCLE REFUGE CAN PULLS AND DEMOLITIONS</t>
  </si>
  <si>
    <t>PROJ 0050A002.001 thru 0050A121.A01 - various engineering projects (APPKT03263)</t>
  </si>
  <si>
    <t>TRACTOR SPRAY SITE</t>
  </si>
  <si>
    <t>BERLIN FIRE</t>
  </si>
  <si>
    <t>FY 2025 AMOSS GRANT</t>
  </si>
  <si>
    <t>BRASURE'S PEST CONTROL</t>
  </si>
  <si>
    <t>QUARTERLY PEST CONTROL POWER PLANT / 113 SCHOOLFIELD STREET</t>
  </si>
  <si>
    <t>ASCR JAWS FOR MILWAUKEE 6 TON HANDHELD PRESS</t>
  </si>
  <si>
    <t>113 SCHOOLFIELD ST BACKUP GEN BATTERY &amp; CHARGER / FENDERS FOR BACKHOE</t>
  </si>
  <si>
    <t>4-2" METERS</t>
  </si>
  <si>
    <t>POWER PLANT STACK TESTING #1 ENGINE GASKETS</t>
  </si>
  <si>
    <t>GARDEN ARTISANS</t>
  </si>
  <si>
    <t>GRANT FUNDED MIP COCO LINERS FOR FLOWERS POTS</t>
  </si>
  <si>
    <t>OIL AND FILTERS</t>
  </si>
  <si>
    <t>PAIGE INDUSTRIAL SERVICES</t>
  </si>
  <si>
    <t>113 SCHOOLFIELD STREET POLE BARN EXTENSION</t>
  </si>
  <si>
    <t>QUADIENT LEASING USA</t>
  </si>
  <si>
    <t>QUADIENT POSTAGE MACHINE LEASE PAYMENT</t>
  </si>
  <si>
    <t>LUBE OIL FILTER TIRE ROTATION 6741</t>
  </si>
  <si>
    <t>5/8x8 CU BONDED 13 MIL GROUND RODS</t>
  </si>
  <si>
    <t>ATLANTIC PUMPING</t>
  </si>
  <si>
    <t>CLEAN EFFLUENT TANK</t>
  </si>
  <si>
    <t>GREAT AMERICA COPIER LEASE AGREEMENT 017-165442</t>
  </si>
  <si>
    <t>HARRINGTON INDUSTRIAL PLASTIC</t>
  </si>
  <si>
    <t>PVC FITTINGS</t>
  </si>
  <si>
    <t>QUADIENT QUARTERLY FOR MAIL STUFFER</t>
  </si>
  <si>
    <t>SHERWOOD-LOGAN ASSOCIATION</t>
  </si>
  <si>
    <t>PUMP HEAD PARTS</t>
  </si>
  <si>
    <t>FIRST AID CABINETS</t>
  </si>
  <si>
    <t>RODREGUIZ PEREZ VACCINATIONS FOR WATER</t>
  </si>
  <si>
    <t>ABSOLUTE SECURITY GROUP</t>
  </si>
  <si>
    <t>SYSTEM GALAXY CONNECTION UPDATE; EXTERIOR CAMERA REPAIR AND REPLACE</t>
  </si>
  <si>
    <t>FARMERS MARKET SHIRTS</t>
  </si>
  <si>
    <t>ABS ANNUAL EQUIP RENTAL TH, PZ &amp; ECO, BILLING SUP</t>
  </si>
  <si>
    <t>ALUM CONNECTORS (INVENTORY) HY-CRIMPS #1</t>
  </si>
  <si>
    <t>ARTISTIC BRONZE DECATUR PLAQUE</t>
  </si>
  <si>
    <t>AT&amp;T MOBILITY TOWN ISSUED DEVICES JAN 2025</t>
  </si>
  <si>
    <t>CLEANING EFFLUENT TANK</t>
  </si>
  <si>
    <t>APR FY 25 APRIL 2025 MED DENT VIS LIFE DIS</t>
  </si>
  <si>
    <t>QUARTERLY PEST CONTROL</t>
  </si>
  <si>
    <t>#4 SOFT DRAWN SOLID COPPER; FULL REEL OF UF WIRE 1000 FT</t>
  </si>
  <si>
    <t>SHIPPING FOR TONER AND WASTE TONER BOTTLE</t>
  </si>
  <si>
    <t>FEB FY 25 RUGS &amp; SHOP TOWELS POWER PLANT</t>
  </si>
  <si>
    <t>INTERNET &amp; DIGITAL SERVICES; DOWNTOWN WIFI; TELEVISION SERVICE POLICE DEPT</t>
  </si>
  <si>
    <t>FEB FY 25 ENVIRONMENTAL TRUST FUND REPORT</t>
  </si>
  <si>
    <t>FEB FY 25 ELECTRIC UNIVERSAL SERVICE PROGRAM FUND</t>
  </si>
  <si>
    <t>METER PIT RISERS; 8 INCH METER POWELTON WELL</t>
  </si>
  <si>
    <t>CUNNINGHAM ASSOCIATES</t>
  </si>
  <si>
    <t>HENRY PARK PLAYGROUND LARGE UNIT REPLACEMENT</t>
  </si>
  <si>
    <t>PROJ 0050A002.079 WEST VIEW (PC NORTH)</t>
  </si>
  <si>
    <t>PATCHES</t>
  </si>
  <si>
    <t>WEEKLY DISCHARGE SAMPLES; MONITORING WELL SAMPLES</t>
  </si>
  <si>
    <t>ANNUAL DOT PHYSICAL BELMONT FAMILY PRACTICE</t>
  </si>
  <si>
    <t>ETIX SUPPLIES FOR TWO CARS</t>
  </si>
  <si>
    <t>EDELWEISS BAND DEPOSIT</t>
  </si>
  <si>
    <t>GREAT AMERICA LEASE FOR COPIER TH, PZ, MICHELLE</t>
  </si>
  <si>
    <t>COMMUNITY CENTER PHASE 1</t>
  </si>
  <si>
    <t>POWER PLANT OXYGEN &amp; ACETYLENE</t>
  </si>
  <si>
    <t>MAR FY 25 LEGAL SHIELD EMPLOYEE PAID</t>
  </si>
  <si>
    <t>LGIT PROPERTY PREMIUM</t>
  </si>
  <si>
    <t>GSA ANNAPOLIS MILEAGE, MEALS, AND TOLLS</t>
  </si>
  <si>
    <t>NYE COWBELLS 2025</t>
  </si>
  <si>
    <t>NATIONWIDE EMPLOYEE CONTRIBUTIONS DEFERRED COMP PPE 03/09/2025</t>
  </si>
  <si>
    <t>NOYES MICROSYSTEMS</t>
  </si>
  <si>
    <t>MICROSOFT 2021 PRO, SPEC NEW SERVER, INSTALL UPDATE</t>
  </si>
  <si>
    <t>POWER PLANT 3 YEAR WIRELESS SVC ON PUMP SYSTEM</t>
  </si>
  <si>
    <t>ADAPTER BRASS INVERTED</t>
  </si>
  <si>
    <t>PIGG KRAHL STERN &amp; PA</t>
  </si>
  <si>
    <t>FY 24 AUDIT</t>
  </si>
  <si>
    <t>LUBE OIL FILTER BRAKE PAD AND BRAKE ROTORS</t>
  </si>
  <si>
    <t>REAL PROPERTY MAINTENANCE</t>
  </si>
  <si>
    <t>REAL HVAC MAINTENANCE CONTRACT</t>
  </si>
  <si>
    <t>NATURAL GAS POLICE DEPT; G3520 NATURAL GAS SUPPLY POWER PLANT</t>
  </si>
  <si>
    <t>HOMAC HY-CRIMP CONNECTORS; INVENTORY SUPPLIES; COLD SHRINK TERMINATION KIT; ALFO DEI-28 INSULATOR DEAD-END</t>
  </si>
  <si>
    <t>POWER PLANT ENGINES 1 &amp; 5 LUBE 6 X 55 DRUMS</t>
  </si>
  <si>
    <t>METER LOG ON AUG/OCT/FEB</t>
  </si>
  <si>
    <t>MAR FY 25 TOWN UTILITY BILLINGS</t>
  </si>
  <si>
    <t>TUCKAHOE UNDERGROUND</t>
  </si>
  <si>
    <t>30 BURLEY STREET-3 INCH ELECTRIC SERVICE BORE</t>
  </si>
  <si>
    <t>MAR FY 25 TELEPHONE SERVICE</t>
  </si>
  <si>
    <t>MAR FY 25 VERIZON TELEPHONE SERVICE 5 MILE BRANCH RD</t>
  </si>
  <si>
    <t>MAR VERIZON TELEPHONE SERVICE</t>
  </si>
  <si>
    <t>FEB FY 25 RECYCLE/REFUGE/CAN PULLS/DEMOLITIONS; FEB FY 25 SLUDGE</t>
  </si>
  <si>
    <t>WWTP CLEANING</t>
  </si>
  <si>
    <t>25KV DISCONNECTS &amp; CONNECTORS</t>
  </si>
  <si>
    <t>VALVE BOX LIDS</t>
  </si>
  <si>
    <t>MEMBERSHIP REIMBURSEMENTS/RETENTION GRANT</t>
  </si>
  <si>
    <t>QUARTERLY GENERAL PEST CONTROL</t>
  </si>
  <si>
    <t>4 SPOOLS OF #6 SOLID SOFT DRAWN COPPER INVENTORY</t>
  </si>
  <si>
    <t>ANNUAL GENERATOR MAINTENANCE</t>
  </si>
  <si>
    <t>MAR FY 25 ELECTRIC UTILITY SERVICE SPRAY SITE</t>
  </si>
  <si>
    <t>RUG SERVICE</t>
  </si>
  <si>
    <t>4-JB 1 SPLICE BOXES</t>
  </si>
  <si>
    <t>APR FY 25 INTERNET &amp; DIGITAL SERVICES</t>
  </si>
  <si>
    <t>SUPPLIES</t>
  </si>
  <si>
    <t>GENERAL ON CALL ENG SVCS; VARIOUS PROJECT ENGINEERING SERVICES</t>
  </si>
  <si>
    <t>REVERSE FLAGS FOR SHIRTS</t>
  </si>
  <si>
    <t>EVENT ADVERTISING; ADMINISTRATION ADVERTISING</t>
  </si>
  <si>
    <t>GRANT FUNDED MAIN ST IMPROV COCO LINERS FOR FLOWERS</t>
  </si>
  <si>
    <t>HAWKINS</t>
  </si>
  <si>
    <t>BLEACH; GLYCERIN</t>
  </si>
  <si>
    <t>6 TIRE 82 AUTOMATED TRASH TRUCK</t>
  </si>
  <si>
    <t>TOOLS, PARTS, AND OTHER SUPPLIES; MONTHLY SUPPLIES</t>
  </si>
  <si>
    <t>MILEAGE SHRM &amp; LGIT MEETINGS SALISBURY</t>
  </si>
  <si>
    <t>GRANT FUNDED MAIN ST IMPROV SPRING CELEBR MUSIC</t>
  </si>
  <si>
    <t>MATHESON TRI-GAS</t>
  </si>
  <si>
    <t>WELDER GAS RENTALS</t>
  </si>
  <si>
    <t>INSPECTION SERVICES</t>
  </si>
  <si>
    <t>PARTS AND OTHER SUPPLIES; PARTS FOR VEHICLE REPAIRS</t>
  </si>
  <si>
    <t>NATIONWIDE EMPLOYEE CONTRIBUTIONS DEFERRED COMP PPE 03/23/2025</t>
  </si>
  <si>
    <t>BATTERY PORTAJOHN TRAILER</t>
  </si>
  <si>
    <t>100 GENERAL 101 MD PSC CASE NO. 9508</t>
  </si>
  <si>
    <t>PSC SERVICES 7/1/2024 - 02/01/2025</t>
  </si>
  <si>
    <t>UPDATE MERCHANT MAP</t>
  </si>
  <si>
    <t>AMI MASS METER SWAP PROJECT MANAGEMENT</t>
  </si>
  <si>
    <t>RENEWAL OF PERMIT PI 73 PRESORT MAIL</t>
  </si>
  <si>
    <t>GRANT FUNDED MAIN ST IMPROV MARKETING</t>
  </si>
  <si>
    <t>TYVEK SUITS</t>
  </si>
  <si>
    <t>2025 RPS COMP FEE REMITTANCE JAN 1 2024 - DEC 21, 2024 (APPKT03298 04/03)</t>
  </si>
  <si>
    <t>SEMI ANNUAL FIRE INSPECTION</t>
  </si>
  <si>
    <t>REBUILD SPRAY PUMP</t>
  </si>
  <si>
    <t>BLUE PEAK LOGIC</t>
  </si>
  <si>
    <t>SKILLS MANAGER SOFTWARE AND SUBSCRIPTION</t>
  </si>
  <si>
    <t>WORK ON CONTROLS</t>
  </si>
  <si>
    <t>REFUND PARK RESERVATION DEPOSIT</t>
  </si>
  <si>
    <t>MAR FY 25 TOWN VEHICLE GAS</t>
  </si>
  <si>
    <t>FLAG POLE UPLIGHTING</t>
  </si>
  <si>
    <t>CHARGEPOINT</t>
  </si>
  <si>
    <t>EV CHARGING STATION ANNUAL SERVICE AGREEMENT</t>
  </si>
  <si>
    <t>APR FY 25 DOWNTOWN WIFI</t>
  </si>
  <si>
    <t>ADS PIPING</t>
  </si>
  <si>
    <t>REPAIR TIRE TRUCK 45</t>
  </si>
  <si>
    <t>DELAWARE ELEVATOR SERVICE</t>
  </si>
  <si>
    <t>CHAIR LIFT TOWN HALL ELEVATOR INSPECTION 2025</t>
  </si>
  <si>
    <t>CRIMINAL INTERDICTION TRAINING</t>
  </si>
  <si>
    <t>EASTERN SHORE FOREST PRODUCTS</t>
  </si>
  <si>
    <t>SDP TOP SOIL</t>
  </si>
  <si>
    <t>ANNUAL HYDRANT SAMPLES (04/04)</t>
  </si>
  <si>
    <t>EVENT ADVERTISING / RTE 346 TEST WELL WATER CAPACITY RFP AD / LEE ROAD REHAB PAVING RFP AD</t>
  </si>
  <si>
    <t>GREAT AMERICA LEASE FOR COPIER TH, PZ, MICHELLE (04/04)</t>
  </si>
  <si>
    <t>PHASE 1 COMMUNITY CENTER / PROFESSIONAL DESIGN SERVICES TOWN HALL RENOVATION</t>
  </si>
  <si>
    <t>GRAHAM AVE</t>
  </si>
  <si>
    <t>JAMES BOUNDS BOND SPRAY SITE APR FY 25</t>
  </si>
  <si>
    <t>LINDSAY FORD</t>
  </si>
  <si>
    <t>DUMP TRUCK FOR PUBLIC WORKS STREETS</t>
  </si>
  <si>
    <t>LGIT INSURANCE PREMIUMS FORD F150 AND JD TRACTOR</t>
  </si>
  <si>
    <t>WINTER CONF REGISTER &amp; MMA MEMBERSHIP DUES</t>
  </si>
  <si>
    <t>BELTS FOR BLOWERS / SERVICE TRUCK 2 AND 77 (04/04)</t>
  </si>
  <si>
    <t>MAR FY 25 CUSTODIAL SERVICE FOR POLICE DEPARTMENT</t>
  </si>
  <si>
    <t>1000 FT. 750 PRIMARY U/G CABLE (04/04)</t>
  </si>
  <si>
    <t>UNIFORMS FOR PUBLIC WORKS CREWS (04/04)</t>
  </si>
  <si>
    <t>ELECTRONIC METERS KV2C FORM 25, 240VCL200</t>
  </si>
  <si>
    <t>PER DIEM 3/28 MEALS MAIN ST MEETING</t>
  </si>
  <si>
    <t>POSTAGE FOR BULK MAILING (APPKT03306 04/09)</t>
  </si>
  <si>
    <t>TRACTOR SUPPLY</t>
  </si>
  <si>
    <t>TORO-54 ZERO TURN MOWER (APPKT03303 04/09)</t>
  </si>
  <si>
    <t>YSD25R25R STRAIGHT ALUM COMPRESSION SLEEVES / W20 1 WEDGE CLAMPS</t>
  </si>
  <si>
    <t>PROJ P.0787283.F.50 RATE SVC, PLANT OPER, REG COMPL</t>
  </si>
  <si>
    <t>MAR FY 25 RUGS &amp; SHOP TOWELS POWER PLANT</t>
  </si>
  <si>
    <t>CODY COMPUTER SERVER MOVE</t>
  </si>
  <si>
    <t>PER DIEM 4/8 MEALS TRAINING 4/27 - 5/02</t>
  </si>
  <si>
    <t>PER DIEM 4/8 MEALS FOR TRAINING 4/27 - 5/02</t>
  </si>
  <si>
    <t>MAR FY 25 ENVIRONMENTAL TRUST FUND REPORT (vendor# 0000581)</t>
  </si>
  <si>
    <t>MAR FY 25 ELECTRIC UNIVERSAL SERVICE PROGRAM FUND (vendor# 0000584)</t>
  </si>
  <si>
    <t>MULTIPLE ENGINEERING PROJECTS incl. HOME AT BERLIN, STEPHEN DECATUR PK, POWELLTON WELL, WEST ST, LEAD SVC LINE RPL</t>
  </si>
  <si>
    <t>2024 FORM 11 BALANCE FRANCHISE TAX / FORM 29 E 2024 1 QRT FRANCHISE TAX</t>
  </si>
  <si>
    <t>DRINKING WATER &amp; WATER COOLER RENTAL / DISTILLED WATER</t>
  </si>
  <si>
    <t>EASTERN SURPLUS &amp; EQUIPMENT</t>
  </si>
  <si>
    <t>5 TON AND HUMVEE SUPPLIES</t>
  </si>
  <si>
    <t>WEEKLY DISCHARGE SAMPLES (04/11)</t>
  </si>
  <si>
    <t>WATER SERVICE 205 WASHINGTON</t>
  </si>
  <si>
    <t>GREAT AMERICA LEASE FOR COPIER TH, PZ, MICHELLE / COPIER LEASE AGREEMENT (04/11)</t>
  </si>
  <si>
    <t>WATER COOLER / QUARTERLY RENTAL OF WATER COOLER</t>
  </si>
  <si>
    <t>2025 ANNUAL MEMBERSHIP</t>
  </si>
  <si>
    <t>POWER PLANT EMISSIONS FINAL REPORT</t>
  </si>
  <si>
    <t>PARTS AND OTHER SUPPLIES / PARTS FOR VEHICLE REPAIRS (04/11)</t>
  </si>
  <si>
    <t>NATIONWIDE EMPLOYEE CONTRIBUTIONS DEFERRED COMP PPE 04/06/2025</t>
  </si>
  <si>
    <t>PILOT INSTITUTE</t>
  </si>
  <si>
    <t>DRONE RESPONDERS BUNDLE COURSE</t>
  </si>
  <si>
    <t>MAR FY 25 G3520 NATURAL GAS SUPPLY POWER PLANT</t>
  </si>
  <si>
    <t>SHORITE CONTROL JOHN FUNK JR</t>
  </si>
  <si>
    <t>TRANSDUCERS</t>
  </si>
  <si>
    <t>HEND HPI25J-01 INSULATOR PIN 25KV POLY (04/11)</t>
  </si>
  <si>
    <t>IT SUPPORT M. PFALLER / OFFICE 365 AGREEMENT LICENSING</t>
  </si>
  <si>
    <t>UNIFORMS FOR PUBLIC WORKS CREWS (04/11)</t>
  </si>
  <si>
    <t>UNITED WAY EMPLOYEE DONATIONS/CONTRIBUTIONS PPE 04/06/2025</t>
  </si>
  <si>
    <t>AHLERS DOT PHYSICAL</t>
  </si>
  <si>
    <t>MAR FY 25 RECYCLE, REFUGE, CAN PULLS, DEMOLITIONS / MAR FY 25 SLUDGE</t>
  </si>
  <si>
    <t>MAY FY 25 BENEFITMALL MAY 2025 MED DENT VIS LIFE DIS</t>
  </si>
  <si>
    <t>FILTER FEED TROUBLE</t>
  </si>
  <si>
    <t>BULLETPROOF SOLUTIONS</t>
  </si>
  <si>
    <t>AUDIT OF IT SYSTEM</t>
  </si>
  <si>
    <t>PER DIEM MEALS LINEMAN TRAINING 4/21-4/25</t>
  </si>
  <si>
    <t>REIMB SAFETY GLASSES</t>
  </si>
  <si>
    <t>APR FY 25 ELECTRIC UTILITY SERVICE</t>
  </si>
  <si>
    <t>MAR FY 25 TELEVISION SERVICE POLICE DEPT</t>
  </si>
  <si>
    <t>PROJ 0050A117.A01 BERLIN BIKEWAYS</t>
  </si>
  <si>
    <t>STONE RIVER OF KINDNESS PATH SDPARK</t>
  </si>
  <si>
    <t>ONE TIME PAYMENT CHECK RE-ISSUE EE LOST CHECK</t>
  </si>
  <si>
    <t>MONITORING WELL SAMPLES</t>
  </si>
  <si>
    <t>EQUIPMENT</t>
  </si>
  <si>
    <t>18V PUMPS</t>
  </si>
  <si>
    <t>HARRIS -PSPC</t>
  </si>
  <si>
    <t>RADIO MAINTENANCE CONTRACT</t>
  </si>
  <si>
    <t>SOUND FOR SPRING CELEBRATION</t>
  </si>
  <si>
    <t>REFUND BERLIN A&amp;E POSTCARD CONTEST WINNER</t>
  </si>
  <si>
    <t>APR FY 25 LEGAL SHIELD EMPLOYEE PAID</t>
  </si>
  <si>
    <t>POLLINATOR GARDEN TOUR IN BERLIN SPONSORSHIP</t>
  </si>
  <si>
    <t>OIT RENEWAL &amp; EXAMS DDAVIS</t>
  </si>
  <si>
    <t>GENERAL MATTERS, MD PSC CASE NO. 9508</t>
  </si>
  <si>
    <t>TIRES AND INSTALL 6746</t>
  </si>
  <si>
    <t>APR FY 25 NATURAL GAS POLICE DEPT</t>
  </si>
  <si>
    <t>MAP FROM BERLIN TO ASSATEAGUE</t>
  </si>
  <si>
    <t>TAX ADJUST 2024 FOR TUITION REIMBURSE EE PORTION</t>
  </si>
  <si>
    <t>TWO HOLE HY-LUGS STANDARD BOX 50</t>
  </si>
  <si>
    <t>ADOBE RENEWAL - R. BALDWIN</t>
  </si>
  <si>
    <t>TELVUE</t>
  </si>
  <si>
    <t>TELVUE ANNUAL SUPPORT</t>
  </si>
  <si>
    <t>APR FY 25 TOWN UTILITY BILLINGS</t>
  </si>
  <si>
    <t>E4 BUCKET TRUCK-OVER CENTER HYDRAULIC ISSUE</t>
  </si>
  <si>
    <t>REISSUE ONE TIME PAYMENT $300.00 EMPL LOST CK</t>
  </si>
  <si>
    <t>PRIZE BERLIN A&amp;E POSTCARD CONTEST WINNER</t>
  </si>
  <si>
    <t>ENERGY ASSISTANCE PROGRAM</t>
  </si>
  <si>
    <t>TOILET PAPER</t>
  </si>
  <si>
    <t>APR/MAY FY 25 INTERNET &amp; DIGITAL SERVICES (multiple invoices)</t>
  </si>
  <si>
    <t>MULCH PARKS SDP &amp; HENRY</t>
  </si>
  <si>
    <t>MARKING PAINT</t>
  </si>
  <si>
    <t>FERGUSON ENTERPRISES LLC</t>
  </si>
  <si>
    <t>VALVE EXERCISER AND VALVE KEY</t>
  </si>
  <si>
    <t>AUTOCLAVE THERMOMETER</t>
  </si>
  <si>
    <t>FLEET MAINTENANCE</t>
  </si>
  <si>
    <t>TIRES</t>
  </si>
  <si>
    <t>GFOA CONFERENCE JUNE FY25</t>
  </si>
  <si>
    <t>BLEACH (multiple invoices)</t>
  </si>
  <si>
    <t>WATER COOLER FILTERS</t>
  </si>
  <si>
    <t>NATIONWIDE EMPLOYEE CONTRIBUTIONS DEFERRED COMP</t>
  </si>
  <si>
    <t>BOLT HOLDER FARMER MARKET SIGNS</t>
  </si>
  <si>
    <t>COPILOT FOR MAYOR'S OFFICE</t>
  </si>
  <si>
    <t>GRANT WRITING SERVICE</t>
  </si>
  <si>
    <t>APR FY 25 TELEPHONE SERVICE</t>
  </si>
  <si>
    <t>APR FY 25 VERIZON TELEPHONE SERVICE 5 MILE BRANCH RD</t>
  </si>
  <si>
    <t>APR FY 25 VERIZON TELEPHONE SERVICE</t>
  </si>
  <si>
    <t>AUTOMATED TRASH TRUCK</t>
  </si>
  <si>
    <t>PETERBILT STORE - BALTIMORE</t>
  </si>
  <si>
    <t>GRANT FUNDED FARMERS MARKET MUSIC</t>
  </si>
  <si>
    <t>RESTROOM SIGNS</t>
  </si>
  <si>
    <t>AERZEN USA</t>
  </si>
  <si>
    <t>SEALS</t>
  </si>
  <si>
    <t>HALO SL SYSTEM-RED LIGHT LIGHT HARDHAT LIGHTS</t>
  </si>
  <si>
    <t>PERMIT REVIEW</t>
  </si>
  <si>
    <t>VAC TRUCK PARTS</t>
  </si>
  <si>
    <t>RFS-50W16 OVERHEAD LED LIGHT FIXTURES; FUSES</t>
  </si>
  <si>
    <t>WORK ON GENERATOR</t>
  </si>
  <si>
    <t>CHESAPEAKE ENVIRONMENTAL SERVICES</t>
  </si>
  <si>
    <t>HARRISON AVE TRANSFORMER MINERAL OIL SPILL CLEANUP</t>
  </si>
  <si>
    <t>SMART METER PORTAL; WATER FITTINGS</t>
  </si>
  <si>
    <t>SAFETY BOOTS REIMBURSEMENT</t>
  </si>
  <si>
    <t>C.MCWILLIAMS EMBROIDERY NAME &amp; TOB EMBLEM FR SHIRTS</t>
  </si>
  <si>
    <t>FEEDWATER TREATMENT SYSTEMS</t>
  </si>
  <si>
    <t>POWER PLANT COOLING TOWER RUST PREVENTIVE</t>
  </si>
  <si>
    <t>VENDOR FUNDED ARTIST MARKET ADS 2ND SUNDAY; ADMINISTRATION ADVERTISING</t>
  </si>
  <si>
    <t>GILLESPIE PRECAST</t>
  </si>
  <si>
    <t>TWO (2) CONCRETE TRANSFORMER PADS</t>
  </si>
  <si>
    <t>CAUSTIC SODA</t>
  </si>
  <si>
    <t>SBR VALVE FAILURE REPAIR PLANT</t>
  </si>
  <si>
    <t>TOOLS, PARTS, AND OTHER SUPPLIES MAR-APR FY25</t>
  </si>
  <si>
    <t>NEW DUMP TRUCK AND MESSAGE BOARD</t>
  </si>
  <si>
    <t>TAKE PRIDE IN BERLIN CRITTER CRAWL EVENT</t>
  </si>
  <si>
    <t>DELL POWER EDGE R360 SERVER AND RAILS</t>
  </si>
  <si>
    <t>BATTERIES TRUCK 48</t>
  </si>
  <si>
    <t>PARK RESERVATION DEPOSIT REFUND</t>
  </si>
  <si>
    <t>POWER PLANT #1 ENGINE OIL</t>
  </si>
  <si>
    <t>FIX RESTROOM DOOR HENRY PARK</t>
  </si>
  <si>
    <t>#38 NEW FRONT TIRES</t>
  </si>
  <si>
    <t>CUSTODIAL SERVICE FOR POLICE DEPARTMENT APR FY25</t>
  </si>
  <si>
    <t>SEAL TECH ENTERPRISES</t>
  </si>
  <si>
    <t>SEAL DRIVEWAY AND PARKING AREA; SEAL SPRAY SITE</t>
  </si>
  <si>
    <t>CHEMICAL FEED TUBES</t>
  </si>
  <si>
    <t>BERLIN MAIN STREET SIGN FOR TRAILER</t>
  </si>
  <si>
    <t>SOUTHEASTERN TRANSFORMER</t>
  </si>
  <si>
    <t>5 TRANSFORMERS SENT OUT FOR REPAIRS</t>
  </si>
  <si>
    <t>TROJAN TECHNOLOGIES</t>
  </si>
  <si>
    <t>UV LIGHTS</t>
  </si>
  <si>
    <t>BROAD STREET PUMP STATION PROJECT APPL #9</t>
  </si>
  <si>
    <t>FY 25 POSTAGE TOWN WIDE</t>
  </si>
  <si>
    <t>JANITORIAL SUPPLIES</t>
  </si>
  <si>
    <t>750 MCM COMPRESSION LUGS; PHOTO CONTROL EYES; COMPRESSION LUGS; U-GUARD BUNDLES</t>
  </si>
  <si>
    <t>BLU DEF FUEL ADDITIVE</t>
  </si>
  <si>
    <t>RATE SVCS, PWR PLNT OPER, REG CO</t>
  </si>
  <si>
    <t>WCAC GRANT FUNDED FARMERS MARKET MUSIC</t>
  </si>
  <si>
    <t>FITTINGS</t>
  </si>
  <si>
    <t>LEGAL SERVICES FOR PLANNING-RELATED MATTERS AND GENERAL LEGAL SERVICES</t>
  </si>
  <si>
    <t>DUCTILE IRON PIPE</t>
  </si>
  <si>
    <t>FLEET SERVICES</t>
  </si>
  <si>
    <t>ANTIFREEZE LEAK</t>
  </si>
  <si>
    <t>REBUILD FRANKLIN KNOLL</t>
  </si>
  <si>
    <t>MD OFFICE OF TOURISM VISITORS GUIDE AD</t>
  </si>
  <si>
    <t>NCSI MOCK PRE EMPLOYMENT BACKGROUND</t>
  </si>
  <si>
    <t>OLD LINE HOLDING COMPANY</t>
  </si>
  <si>
    <t>MD/DE RAILROAD BIKE PATH RESERVATION FEE; ANNUAL LEASE AGREEMENT 5/1/25-4/30/26</t>
  </si>
  <si>
    <t>RE: 100 GENERAL</t>
  </si>
  <si>
    <t>#38 NEW BATTERIES 2X</t>
  </si>
  <si>
    <t>MIP GRANT FUNDED TWO JAZZ AND BLUES STAGES</t>
  </si>
  <si>
    <t>DRUG TESTING; MOCK PRE EMPLOYMENT DRUG SCREENING</t>
  </si>
  <si>
    <t>RUNAWAY BRIDE AND MERCHANT MAPS</t>
  </si>
  <si>
    <t>JAMES BOUNDS BOND SPRAY SITE MAY FY25</t>
  </si>
  <si>
    <t>FB MKTPLACE DESK FOR CODE ENFORCEMENT OFFICER</t>
  </si>
  <si>
    <t>2' BRASS BALL VALVE</t>
  </si>
  <si>
    <t>OIL FOR FINE SCREEN</t>
  </si>
  <si>
    <t>DELMARVA POWER SPORTS</t>
  </si>
  <si>
    <t>POLARIS UTILITY VEHICLE (SPEED CAMERA REIMBURSEMENT)</t>
  </si>
  <si>
    <t>BOLTS FOR MOLES</t>
  </si>
  <si>
    <t>STRUTS TRUCK 71</t>
  </si>
  <si>
    <t>CUTTING TRESS SDP SAFTEY ISSUE</t>
  </si>
  <si>
    <t>RUBBER FLOORING PLANK BOARDS</t>
  </si>
  <si>
    <t>SCARBOROUGH OIL</t>
  </si>
  <si>
    <t>DIESEL FUEL</t>
  </si>
  <si>
    <t>STREET SIGN</t>
  </si>
  <si>
    <t>PH PROBE</t>
  </si>
  <si>
    <t>POST ACCIDENT DRUG SCREENING HURLEY / WATER EMPLOYEE NEW HIRE HEP SERIES AND TDAP</t>
  </si>
  <si>
    <t>APR FY 25 SLUDGE INCLUDES #S 754734,754715,754699</t>
  </si>
  <si>
    <t>TOILET PAPER / PAPER PRODUCTS &amp; CLEANING SUPPLIES</t>
  </si>
  <si>
    <t>8 FT WOODEN CROSS-ARMS / METAL POLE TOP INSULATORS / #2 OVERHEAD DROP WIRE TRIPLEX</t>
  </si>
  <si>
    <t>APR FY 25 AT&amp;T MOBILITY TOWN ISSUED DEVICES MAR 2025</t>
  </si>
  <si>
    <t>JUNE &amp; MAY FY 25 MED DENT VIS LIFE DIS</t>
  </si>
  <si>
    <t>DONATION IN MEMORY OF JAMES TUBBS</t>
  </si>
  <si>
    <t>346 WEST / BRANCH STREET GENERATOR</t>
  </si>
  <si>
    <t>CIVICPLUS</t>
  </si>
  <si>
    <t>CIVICPLUS SUPPLEMENTATION SUBSCRIPTION</t>
  </si>
  <si>
    <t>CLICKBID</t>
  </si>
  <si>
    <t>ONLINE AUCTION SITE</t>
  </si>
  <si>
    <t>UMGC TUITION</t>
  </si>
  <si>
    <t>RETENTION GRANT REIMB 5 GYM MEMBERSHIP</t>
  </si>
  <si>
    <t>APR FY 25 ENVIRONMENTAL TRUST FUND REPORT</t>
  </si>
  <si>
    <t>APR FY 25 ELEC UNIVERSAL SERVICE PROGRAM FUND</t>
  </si>
  <si>
    <t>14704-12-00-LS HUDSON BRUNCH STREAM RESTORATION</t>
  </si>
  <si>
    <t>2025 Q2 RANDOM DRUG SCREENINGS</t>
  </si>
  <si>
    <t>MONITORING WELL SAMPLES / WEEKLY DISCHARGE SAMPLES</t>
  </si>
  <si>
    <t>VEHICLE SUPPLIES</t>
  </si>
  <si>
    <t>FARMERS MARKET MANAGER MAY THRU JUNE</t>
  </si>
  <si>
    <t>CAUSTIC SODA 50% WELL #1 / AZONE15</t>
  </si>
  <si>
    <t>HOOK UP PUMP AND CHECK CONTROLS</t>
  </si>
  <si>
    <t>FORD RANGER TRUCK REPAIRS</t>
  </si>
  <si>
    <t>FY 25 LEGAL SHIELD EMPLOYEE PAID</t>
  </si>
  <si>
    <t>LGIT INSURANCE COVERAGE TRASH TRUCK</t>
  </si>
  <si>
    <t>RETENTION GRANT REIMB 6 GYM MEMBERSHIP</t>
  </si>
  <si>
    <t>BATTERIES FOR CAMERA TRUCK</t>
  </si>
  <si>
    <t>POWER PLANT GUAGE TECH SUPPORT</t>
  </si>
  <si>
    <t>GIS CERTIFICATION, PRE GISP EXAM</t>
  </si>
  <si>
    <t>MAY FY 25 NATURAL GAS POLICE DEPT</t>
  </si>
  <si>
    <t>CLASS 3-LINE HOSES</t>
  </si>
  <si>
    <t>COLLEGE TUITION</t>
  </si>
  <si>
    <t>MSAC GRANT FUNDED FARMERS MARKET MUSIC</t>
  </si>
  <si>
    <t>DESKTOP VOLTAGE HOOKUP FOR AUGIE W.</t>
  </si>
  <si>
    <t>PAVING NORTH ENTRANCE</t>
  </si>
  <si>
    <t>MAY FY 25 TOWN UTILITY BILLINGS</t>
  </si>
  <si>
    <t>TRANSFORMER MAINTENANCE &amp; SERVICE</t>
  </si>
  <si>
    <t>POWER PLANT REPAIR RECLOSURES</t>
  </si>
  <si>
    <t>UV BULBS FRIEGHT</t>
  </si>
  <si>
    <t>MAY FY 25 VERIZON TELEPHONE SERVICE</t>
  </si>
  <si>
    <t>WASHINGTON NATIONAL EMPLOYEE PAID SUPPLEMENTAL INSURANCE</t>
  </si>
  <si>
    <t>DOT PHYSICAL AUGUST WIENHOLD</t>
  </si>
  <si>
    <t>WIENHOLD AUGUST J</t>
  </si>
  <si>
    <t>BOC CREDIT CARD AUGUST WIENHOLD</t>
  </si>
  <si>
    <t>APR 25 RECYCLE,REFUGE,CAN PULLS AND DEMOLITIONS</t>
  </si>
  <si>
    <t>AMERICAN TESTING AND INSPECTION SERVICES</t>
  </si>
  <si>
    <t>TOWN HALL ELEVATOR INSPECTION</t>
  </si>
  <si>
    <t>MAY/APR FY 25 ELECTRIC UTILITY SERVICE</t>
  </si>
  <si>
    <t>APRIL FY 25 RUGS &amp; SHOP TOWELS POWER PLANT</t>
  </si>
  <si>
    <t>JUN/MAY FY 25 INTERNET &amp; DIGITAL SERVICES / TELEVISION SERVICE POLICE DEPT</t>
  </si>
  <si>
    <t>TOP SOIL DOWNTOWN PLANTING</t>
  </si>
  <si>
    <t>PTO SWITCH TRUCK 82</t>
  </si>
  <si>
    <t>NEW WATER SERVICE 10 WEST ST</t>
  </si>
  <si>
    <t>BLEACH/SODIUM HYDROXIDE</t>
  </si>
  <si>
    <t>MD GFOA SUMMER CONFERENCE</t>
  </si>
  <si>
    <t>RIPRAP STONES</t>
  </si>
  <si>
    <t>R BALDWIN PLANNING DEPT CONSULTANT</t>
  </si>
  <si>
    <t>KEY SWITCH</t>
  </si>
  <si>
    <t>CLASS 3 RUBBER GLOVES CHARLES MCWILLIAMS</t>
  </si>
  <si>
    <t>PAVING VARIOUS LOCATIONS</t>
  </si>
  <si>
    <t>FILTER SENSOR TRUCK 82</t>
  </si>
  <si>
    <t>MAY FY 25 TELEPHONE SERVICE</t>
  </si>
  <si>
    <t>MAY FY 25 VERIZON TELEPHONE SERVICE 5 MILE BRANCH RD</t>
  </si>
  <si>
    <t>HERTRICH</t>
  </si>
  <si>
    <t>NEW POLICE VEHICLES (SPEED CAMERA FUNDS)</t>
  </si>
  <si>
    <t>JUN FY 25 CUSTODIAL SERVICE FOR POLICE DEPARTMENT</t>
  </si>
  <si>
    <t>FY 26 BERLIN FIRE OPER ALLOCATION</t>
  </si>
  <si>
    <t>BERLIN FIRE COMPANY EMERGENCY MEDICAL SERVICES</t>
  </si>
  <si>
    <t>FY 26 EMS ALLOCATION</t>
  </si>
  <si>
    <t>7/6 WCAC GRANT FUNDED FARMERS MARKET MUSIC</t>
  </si>
  <si>
    <t>ZY PYROTECHNICS</t>
  </si>
  <si>
    <t>PARTIALLY SPONSORED FIREWORK FINAL PAYMENT</t>
  </si>
  <si>
    <t>RESTROOM AND MISC SIGNS</t>
  </si>
  <si>
    <t>CLEANING SUPPLIES / PAPER PRODUCTS</t>
  </si>
  <si>
    <t>RADAR UNITS FOR NEW VEHICLES (SPEED CAMERA FUND)</t>
  </si>
  <si>
    <t>TASER 7 SUPPLIES</t>
  </si>
  <si>
    <t>GAMETIME EQUIP REPLACEMENT AT SDP</t>
  </si>
  <si>
    <t>PROJ BERLIN SWM SUPPORT</t>
  </si>
  <si>
    <t>LEGAL SERVICES FOR PLANNING-RELATED MATTERS</t>
  </si>
  <si>
    <t>PALLET OF DRINKING WATER FOR DEPTS</t>
  </si>
  <si>
    <t>EMPLOYMENT ADS / ADMINISTRATION ADVERTISING</t>
  </si>
  <si>
    <t>GALLS SUPPLY ORDER</t>
  </si>
  <si>
    <t>CONCRETE FLAG POLE PAD BUILDING &amp; ZONING / SDP / WAR MEMORIAL</t>
  </si>
  <si>
    <t>JUN FY 25 GREAT AMERICA COPIER LEASE AGREEMENT</t>
  </si>
  <si>
    <t>FY 25 JUNE TOOLS, PARTS AND OTHER SUPPLIES</t>
  </si>
  <si>
    <t>UNIFORM REPLACEMENTS FOR OFFICERS</t>
  </si>
  <si>
    <t>DEISEL FUEL FOR POWER PLANT / FUEL FOR GRASS CUTTERS</t>
  </si>
  <si>
    <t>TOWN LOGO ON NEW TRUCKS</t>
  </si>
  <si>
    <t>THREE REPLACEMENT CARBINE RIFLES</t>
  </si>
  <si>
    <t>PLAYGROUND GUARDIAN</t>
  </si>
  <si>
    <t>PARTS PLAYGROUND REPAIR SDP</t>
  </si>
  <si>
    <t>QUILL</t>
  </si>
  <si>
    <t>REIMB 6/28 GFOA CONF DC NATALIE SALEH</t>
  </si>
  <si>
    <t>HYDRANT PAINT</t>
  </si>
  <si>
    <t>STATE VENTURES</t>
  </si>
  <si>
    <t>ADVERTISING FOR DOWNTOWN BERLIN</t>
  </si>
  <si>
    <t>SUPERIOR PAVING</t>
  </si>
  <si>
    <t>2 PALLETS COLD MIX</t>
  </si>
  <si>
    <t>TECHMD PZ NETWORK DROP ADDITIONS</t>
  </si>
  <si>
    <t>STREET PAVING PINE FRANKLING CEDAR</t>
  </si>
  <si>
    <t>PRE-PAY AMMO</t>
  </si>
  <si>
    <t>E3 REPAIR OIL COOLER LEAK</t>
  </si>
  <si>
    <t>TYLER SUPPORT</t>
  </si>
  <si>
    <t>HEBRON BANK TRANSFORMER 75 KVA 120/208</t>
  </si>
  <si>
    <t>JUN FY 25 MDT SERVICE</t>
  </si>
  <si>
    <t>REIMB 6/26 GAS TO TRAVEL TO MAIN STREET CONFERENCE</t>
  </si>
  <si>
    <t>HEP SERIES WATER RESOURCES MOCK</t>
  </si>
  <si>
    <t>JUN FY 25 RECYCLE, REFUGE, CAN PULLS AND DEMOLITIONS / JUNE FY 25 SLUDGE</t>
  </si>
  <si>
    <t>WORK ON ROLL UP DOORS</t>
  </si>
  <si>
    <t>7/20 WCAC GRANT FUNDED FARMERS MARKET MUSIC</t>
  </si>
  <si>
    <t>PER DIEM 7/9 MEALS CLASS LANDOVER MD 7/13 - 7/18</t>
  </si>
  <si>
    <t>#10 CANARY WINDOW ENVELOPE W/BLACK INK</t>
  </si>
  <si>
    <t>MAINTENANCE INSPEC TO BRANCH ST AIR CONDITION</t>
  </si>
  <si>
    <t>ACRISURE MID-ATLANTIC PARTNERS INSURANCE SERVICES</t>
  </si>
  <si>
    <t>CRIME INSURANCE ANNUAL INSTALLMENT 1 OF 3</t>
  </si>
  <si>
    <t>ABS EQUIP RENTAL / PRINTER / CONTRACT BASE CHARGE</t>
  </si>
  <si>
    <t>STD BOX FLAT SQ GALVWASHERS</t>
  </si>
  <si>
    <t>FY 25 MAY &amp; JUNE UPGRADE BILLING</t>
  </si>
  <si>
    <t>FLEET 3 BASIC CONTRACT ANNUAL</t>
  </si>
  <si>
    <t>JUL FY 26 BENEFITMALL JULY 2025 MED DENT VIS LIFE DIS</t>
  </si>
  <si>
    <t>FANKLIN AVE WATER TOWER</t>
  </si>
  <si>
    <t>JUL FY 26 INTERNET &amp; DIGITAL SERVICES / DOWNTOWN WIFI</t>
  </si>
  <si>
    <t>POLLUTION LIABILITY INSURANCE</t>
  </si>
  <si>
    <t>WATER METERS / TOOLS AND SUPPLIES</t>
  </si>
  <si>
    <t>MAINTENANCE CONTRACT GENERATOR</t>
  </si>
  <si>
    <t>FY 25 REIMB FOR LONG TERM DISABILITY</t>
  </si>
  <si>
    <t>MARKETS MARKET MANAGER</t>
  </si>
  <si>
    <t>GREAT AMERICA COPIER LEASE SHIRLEY'S MACHINE</t>
  </si>
  <si>
    <t>HYPOCLORITE / CHEMICALS / AZONE</t>
  </si>
  <si>
    <t>REIMB FUEL FOR VEHICLE #20 / LUNCH PICK UP DIGGER DERRICK RENTAL</t>
  </si>
  <si>
    <t>I G BURTON OF BERLIN</t>
  </si>
  <si>
    <t>1500 SILVERADO CREW CAB PICKUP</t>
  </si>
  <si>
    <t>FY 26 LEGAL SHIELD EMPLOYEE PAID</t>
  </si>
  <si>
    <t>LGIT LIABILITY RENEWAL FY2026</t>
  </si>
  <si>
    <t>MEMBERSHIP RENEWAL FY26</t>
  </si>
  <si>
    <t>2025-2026 ANNUAL MEMBERSHIP DUES</t>
  </si>
  <si>
    <t>ANNUAL MEMBERSHIP DUES CLERKS ASSOCIATION</t>
  </si>
  <si>
    <t>MML PARKS &amp; REC ANNUAL MEMBERSHIP</t>
  </si>
  <si>
    <t>BERLIN EFFLUENT STORAGE / SPRAY IRRIGATION</t>
  </si>
  <si>
    <t>NATIONAL MAIN STREET CENTER</t>
  </si>
  <si>
    <t>GAMSA APPLICATION FEE</t>
  </si>
  <si>
    <t>TOOLS AND PARTS / BATTERY FOR PUMP</t>
  </si>
  <si>
    <t>100 GENERAL 5/1 - 6/30</t>
  </si>
  <si>
    <t>2016 TAHOE OIL CHANGE / VEHICLE REPAIRS</t>
  </si>
  <si>
    <t>REIMB 7/8 MEMBERSHIP REIMBURSEMENT GRANT</t>
  </si>
  <si>
    <t>BATTERY TOOL SAW AND TRIMMERS</t>
  </si>
  <si>
    <t>FLOW METERS</t>
  </si>
  <si>
    <t>SOUTHERN CORROSION</t>
  </si>
  <si>
    <t>WATER TOWER YEARLY CONTRACT</t>
  </si>
  <si>
    <t>PITTS &amp; BAY PATCH PAVING</t>
  </si>
  <si>
    <t>FRANKLIN AVE WATER TOWER AND WELL#2 PROJECT</t>
  </si>
  <si>
    <t>FY JULY BOUNDS LOAN PAYMENT</t>
  </si>
  <si>
    <t>2025-2026 ANNUAL MEMBERSHIP DUES FOR DAVID GASKILL</t>
  </si>
  <si>
    <t>FY 26 DINNER TICKETS FOR 11 GUEST</t>
  </si>
  <si>
    <t>DIGESTER MIXER</t>
  </si>
  <si>
    <t>ABS INK CARTRIDGE SHIRLEY'S PRINTER</t>
  </si>
  <si>
    <t>A/C UNIT UPSTAIR FINANCE OFFICE</t>
  </si>
  <si>
    <t>BAY FOUR</t>
  </si>
  <si>
    <t>FACADE GRANT REIMBURSEMENT</t>
  </si>
  <si>
    <t>PERMINITER SPRAY</t>
  </si>
  <si>
    <t>AUG 1 WCAC GRANT FUNDED FARMERS MARKET MUSIC</t>
  </si>
  <si>
    <t>REMOTE CHARGE MIN 1/2 HR</t>
  </si>
  <si>
    <t>FIRST AID AND SAFETY SUPPLIES</t>
  </si>
  <si>
    <t>ANNUAL SUPPORT AND MAINTENANCE FY26</t>
  </si>
  <si>
    <t>JUL FY 26 TELEVISION SERVICE POLICE DEPT</t>
  </si>
  <si>
    <t>COUNTYWEBSITECOM</t>
  </si>
  <si>
    <t>BERLINMAINSTREET.COM DOMAIN</t>
  </si>
  <si>
    <t>AUG FY 26 BENEFITMALL AUGUST 2025 MED DENT VIS LIFE DIS</t>
  </si>
  <si>
    <t>APPL #2 WELL HOUSE #1 POWELLTON</t>
  </si>
  <si>
    <t>WCAC GRANT FUNDED FARMERS MARKET MUSIC (AUG 17, 24, 3)</t>
  </si>
  <si>
    <t>TOWN HALL FIRE ALARM ANNUAL WORCESTER CO</t>
  </si>
  <si>
    <t>FLANGES &amp; CAMLOCKS W/ THREDS</t>
  </si>
  <si>
    <t>PANTS FOR ENGELBRECHT</t>
  </si>
  <si>
    <t>JUL FY 26 FARMERS MARKET MANAGER</t>
  </si>
  <si>
    <t>GLOBAL RENTAL</t>
  </si>
  <si>
    <t>DIGGER DERRICK RENTAL</t>
  </si>
  <si>
    <t>GREAT AMERICA LEASE COPIERS TH, PZ/ECON, MICHELLE</t>
  </si>
  <si>
    <t>CAUSTIC - BRANCH ST WELL#3</t>
  </si>
  <si>
    <t>DIGESTER MIXER / SBR 2 VALVE REPLACEMENT</t>
  </si>
  <si>
    <t>QUARTERLY WATER COOLER RENTAL</t>
  </si>
  <si>
    <t>7/15 LEGAL SHIELD EMPLOYEE PAID</t>
  </si>
  <si>
    <t>WORK ON SERVER MIGRATION</t>
  </si>
  <si>
    <t>REPAIR E20 1500 PICKUP TRUCK</t>
  </si>
  <si>
    <t>TOTAL ASSESSMENT FOR FISCAL YEAR</t>
  </si>
  <si>
    <t>POSTAGE TOWN WIDE</t>
  </si>
  <si>
    <t>JULY FY 26 GAS UTILITY SERVICES</t>
  </si>
  <si>
    <t>RUBBER SAFETY TESTING &amp; REPLACEMENTS</t>
  </si>
  <si>
    <t>REIMB BOOTS</t>
  </si>
  <si>
    <t>8/31 WCAC GRANT FUNDED FARMERS MARKET MUSIC</t>
  </si>
  <si>
    <t>STREET SIGN TOWN OF BERLIN / PARKING SIGNS WEST STREET LOT</t>
  </si>
  <si>
    <t>IT SERVICES - MICROSOFT 365 &amp; AZURE</t>
  </si>
  <si>
    <t>MIP GRANT FUNDED STAGE RENTALS FOR FY26</t>
  </si>
  <si>
    <t>JULY FY 26 TOWN UTILITY BILLINGS</t>
  </si>
  <si>
    <t>UNIFORM SERVICES FOR ALL CREWS</t>
  </si>
  <si>
    <t>WISE GUYS POLICE TRAINING AND SERVICES</t>
  </si>
  <si>
    <t>ANNUAL RADAR CALIBRATIONS</t>
  </si>
  <si>
    <t>WO COUNTY DRAINAGE TAX</t>
  </si>
  <si>
    <t>PROJ BERLIN 2025 SPCC / MISC ENG / RATE SVC PW PLNT OPER REG COMP</t>
  </si>
  <si>
    <t>JUN FY 25 ELECTRIC UTILITY SERVICE</t>
  </si>
  <si>
    <t>JUN FY 25 RUGS &amp; SHOP TOWELS POWER PLANT</t>
  </si>
  <si>
    <t>JUNE FY 25 ENVIRONMENTAL TRUST FUND REPORT</t>
  </si>
  <si>
    <t>JUNE FY 25 ELECTRIC UNIVERSAL SERVICE PROGRAM FUND</t>
  </si>
  <si>
    <t>PROJ FRANKLIN AVE WTR TOWER &amp; WELL #2</t>
  </si>
  <si>
    <t>EASTERN LIFT TRUCK</t>
  </si>
  <si>
    <t>ANNUAL MAINTENANCE PM WORK ON FORKLIFT</t>
  </si>
  <si>
    <t>COOLER RENTAL FEES</t>
  </si>
  <si>
    <t>TRANSFORMER LOCKS 3 BOXES 30 PER BOX</t>
  </si>
  <si>
    <t>REFURBISHED BURBAGE PARK SIGN</t>
  </si>
  <si>
    <t>IT WORK RELATED TO ELECTRIC AMI METER PROJECT / IT SERVICES CARDS COMPLETE</t>
  </si>
  <si>
    <t>FY 26 BERLIN FIRE CO OUT OF TOWN RESPONSES</t>
  </si>
  <si>
    <t>MSAC GRANT FUND LIVE MUSIC FOR CHILI PEPPER EVENT</t>
  </si>
  <si>
    <t>1NTEGER SECURITY SERVICES</t>
  </si>
  <si>
    <t>262LR-C5240-S 25KV LOADBREAK ELBOWS; 22" DA BOLTS FOR CROSSARMS</t>
  </si>
  <si>
    <t>ATLANTIC TRAFFIC SAFETY</t>
  </si>
  <si>
    <t>RT 818 PROJECT TRAFFIC CONTROL &amp; RUMBLE STRIPS</t>
  </si>
  <si>
    <t>KUBOTA D1105 RTV</t>
  </si>
  <si>
    <t>MSAC GRANT FUNDED SMALL TOWN LIVE MUSIC</t>
  </si>
  <si>
    <t>CHESAPEAKE UTILITIES &amp; SUBS</t>
  </si>
  <si>
    <t>AUG FY 26 GAS UTILITY FOR POLICE DEPT</t>
  </si>
  <si>
    <t>AUG FY 26 UTILITY SERVICE FOR SPRAY SITES</t>
  </si>
  <si>
    <t>JULY FY 26 POWER PLANT RUGS &amp; RAGS REPLACEMENT</t>
  </si>
  <si>
    <t>SEPT FY 26 INTERNET &amp; DIGITAL SERVICES; AUG FY 26 TELEVISION SERVICE POLICE DEPT</t>
  </si>
  <si>
    <t>JULY FY 26 ENVIRONMENTAL TRUST FUND REPORT (vendor# 0000581)</t>
  </si>
  <si>
    <t>JULY FY 26 ELECTRIC UNIVERSAL SERVICE PROGRAM FUND (vendor# 0000584)</t>
  </si>
  <si>
    <t>APPL #3 WELL HOUSE #1 POWELLTON</t>
  </si>
  <si>
    <t>PEE GRAVEL FLAG POLE SDP</t>
  </si>
  <si>
    <t>WELL MONITORING; WEEKLY DISCHARGE WELL SAMPLES</t>
  </si>
  <si>
    <t>EMERGENCY REPAIR SBR2 AQ.</t>
  </si>
  <si>
    <t>SEMI-ANNUAL FIRE ALARM INSPECTION @ ELEC. DEPT.</t>
  </si>
  <si>
    <t>ADVERTISING FOR EVENTS FY 26</t>
  </si>
  <si>
    <t>SEWER ADMIN TRUCK MAINTENANCE; TRUCK #27</t>
  </si>
  <si>
    <t>TOWN HALL RENOVATION</t>
  </si>
  <si>
    <t>CAUSTIC - FRANKLIN AVE; CAUSTIC SODA - BRANCH ST</t>
  </si>
  <si>
    <t>DODGE DURANGO UNMARKED VEHICLE SPEED CAMERA FUNDS</t>
  </si>
  <si>
    <t>346 WEST PUMP WIRING</t>
  </si>
  <si>
    <t>HOLT PAPER</t>
  </si>
  <si>
    <t>PLANT CLEANING SUPPLIES</t>
  </si>
  <si>
    <t>QUARTERLY RENTAL OF WATER COOLER</t>
  </si>
  <si>
    <t>ANNIVERSARY GIFT CARDS</t>
  </si>
  <si>
    <t>WATER DISTRIBUTION EXAM CERTIFICATIONS (D.DAVIS, M.MOORE, S.COOPER)</t>
  </si>
  <si>
    <t>ROY CASE</t>
  </si>
  <si>
    <t>BRANCH STREET MINI SPLIT ELECTRIC</t>
  </si>
  <si>
    <t>REPLACEMENT RUBBER GLOVES &amp; SLEEVES</t>
  </si>
  <si>
    <t>JACO ADAPTERS COMPRESSION</t>
  </si>
  <si>
    <t>2 BOXES 5/8 OVAL EYE NUTS (INVENTORY STOCK)</t>
  </si>
  <si>
    <t>IT PHONE WIRING; LAPTOP SETUP NEW ACCOUNTANT; ONSITE LABOR; IT SERVICES CARDS COMPLETE</t>
  </si>
  <si>
    <t>PAVING PATCH ANN STREET</t>
  </si>
  <si>
    <t>INSTL 8" CONDUIT &amp; 750 PRIMARY RT 818 &amp; ATATURK L</t>
  </si>
  <si>
    <t>UNIFORM SERVICES FOR ALL CREWS; MEDICAL SUPPLIES SPRAY SITES</t>
  </si>
  <si>
    <t>50FT WIRE FLOAT SWITCH</t>
  </si>
  <si>
    <t>AUG FY 26 TELEPHONE SERVICES</t>
  </si>
  <si>
    <t>AUG FY 26 TELEPHONE SERVICE 5 MILE BRANCH RD</t>
  </si>
  <si>
    <t>AUG FY 26 VERIZON TELEPHONE SERVICE</t>
  </si>
  <si>
    <t>METER SEALING RINGS</t>
  </si>
  <si>
    <t>FY26 BERLIN YOUTH PROGRAM</t>
  </si>
  <si>
    <t>AUG FY 26 JANITORIAL SERVICES</t>
  </si>
  <si>
    <t>ESAM DINNER MAYOR 4 COUNCIL MEMBERS / ESAM DINNER SHANEKA NICHOLS</t>
  </si>
  <si>
    <t>9/7 FY26 WCAC GRANT FUNDED FARMERS MARKET LIVE MUSIC</t>
  </si>
  <si>
    <t>PAPER TOWELS AND CLEANING SUPPLIES</t>
  </si>
  <si>
    <t>WWTP AC UNIT SERVICE FOR NONCOOLING ISSUE</t>
  </si>
  <si>
    <t>AT&amp;T MOBILITY TOWN ISSUED DEVICES JULY 2025</t>
  </si>
  <si>
    <t>ATLANTIC TACTICAL</t>
  </si>
  <si>
    <t>VESTS FOR OFFICERS</t>
  </si>
  <si>
    <t>ADDITIONAL CAMERA FLEET 3 BUNDLE</t>
  </si>
  <si>
    <t>PROJ RATE SVC, BERLIN 2025 SPCC, 304 WEST STREET ENGINEERING, MISC ENGINEERING</t>
  </si>
  <si>
    <t>113 SCHOOLFIELD ST, POWER PLANT, QUARTERLY SPRAYING, PEST CONTROL MAINTENANCE</t>
  </si>
  <si>
    <t>BUNTINGS GARAGE</t>
  </si>
  <si>
    <t>E3 TOWED OUT OF MUD</t>
  </si>
  <si>
    <t>200 AMP MILBANK METER SOCKETS (RESIDENTIAL)</t>
  </si>
  <si>
    <t>JUL FY 26 POWER PLANT NATURAL GAS</t>
  </si>
  <si>
    <t>CIVICPLUS ONLINE CODE HOSTING SUBSCRIPTION DUES</t>
  </si>
  <si>
    <t>SEPT FY 26 DOWNTOWN WIFI / INTERNET &amp; DIGITAL SERVICES</t>
  </si>
  <si>
    <t>HARDWARE MAINTENANCE SMART METERS</t>
  </si>
  <si>
    <t>DECATUR INVESTMENTS</t>
  </si>
  <si>
    <t>DRINKING WATER &amp; COOLER RENTAL FEES</t>
  </si>
  <si>
    <t>IPEMA CERTIFIED PLAYGROUND MULCH SDP</t>
  </si>
  <si>
    <t>RANDOM DRUG SCREENINGS 2025 Q3</t>
  </si>
  <si>
    <t>ED SUPPLY</t>
  </si>
  <si>
    <t>FUSES FOR SLUDGE PRESS</t>
  </si>
  <si>
    <t>9/21 WCAC GRANT FUNDED FARMERS MARKET LIVE MUSIC</t>
  </si>
  <si>
    <t>FIRE EXTINGUISHER ANNUAL INSPECTION TOWN HALL</t>
  </si>
  <si>
    <t>HIGH TIDE MONITORING CONTRACT</t>
  </si>
  <si>
    <t>FARMERS MARKET MANAGER AUGUST 2025</t>
  </si>
  <si>
    <t>RENTAL DIGGER DERRICKS</t>
  </si>
  <si>
    <t>GOOD BOY MANUFACTURING</t>
  </si>
  <si>
    <t>GRANT FUNDED MAIN STREET IMPROVEMENT TOWN MARKETING</t>
  </si>
  <si>
    <t>QUARTERLY PW, ELEC, WR COPIER MACHINES / GREAT AMERICA PLOTTING MACHINE FOR P&amp;Z</t>
  </si>
  <si>
    <t>HYPOCHLORITE</t>
  </si>
  <si>
    <t>SLUDGE BUILDING, GRAHAM AVE, 346 EAST CONTROLS / PARTS FOR GRAHAM AVE</t>
  </si>
  <si>
    <t>TOOLS, PARTS AND OTHER SUPPLIES JUL AUG FY26</t>
  </si>
  <si>
    <t>ISLAND TECH SERVICES</t>
  </si>
  <si>
    <t>UPFITTING OF NEW POLICE VEHICLE SPEED CAMERA FUNDS</t>
  </si>
  <si>
    <t>J &amp; J CHEMICALS</t>
  </si>
  <si>
    <t>J SPRAY FOR TOILETS AT THE PARK</t>
  </si>
  <si>
    <t>MD FRANCHISE TAX SEPT 2024</t>
  </si>
  <si>
    <t>MD GFOA CONFERENCE FALL 25</t>
  </si>
  <si>
    <t>NATIONWIDE EMPLOYEE CONTRIBUTIONS DEFERRED COMP PPE 08/24/2025</t>
  </si>
  <si>
    <t>OFF ROAD FUEL</t>
  </si>
  <si>
    <t>4 SETS DECALS OF TOWN LOGO ON TRUCKS</t>
  </si>
  <si>
    <t>6'x2'x2x BLOCKS MATERIALS PUBLIC WORKS</t>
  </si>
  <si>
    <t>750MCM CABLE TOOL</t>
  </si>
  <si>
    <t>SHELBY TRUCKING</t>
  </si>
  <si>
    <t>RIVER ROCK</t>
  </si>
  <si>
    <t>WCAC GRANT FUNDED FARMERS MARKET LIVE MUSIC</t>
  </si>
  <si>
    <t>TECHMD UPS REFRESHES</t>
  </si>
  <si>
    <t>ANN STREET PATCHING</t>
  </si>
  <si>
    <t>POWER PLANT NG PIPELINE &amp; CAPACITY CHARGES</t>
  </si>
  <si>
    <t>VZW MDT</t>
  </si>
  <si>
    <t>POST ACCIDENT &amp; RANDOM DRUG SCREENING / PRE EMPLOYMENT DRUG SCREENING</t>
  </si>
  <si>
    <t>MAYORS AWARD FOR PLEIN AIR</t>
  </si>
  <si>
    <t>REFUSE, RECYCLE, CAN PULLS, AND DEMOLITIONS</t>
  </si>
  <si>
    <t>DEPOSIT FOR FIREWORKS</t>
  </si>
  <si>
    <t>TEE SHIRTS CHARLES MCWILLIAMS</t>
  </si>
  <si>
    <t>ABS WASTE TONER FOR SHIRLEY'S PRINTER</t>
  </si>
  <si>
    <t>AMAZON PORTABLE SCANNERS FOR FINANCE DEPT</t>
  </si>
  <si>
    <t>CABLE POSITIONERS / 12" CROSSARM BOLTS</t>
  </si>
  <si>
    <t>POWER PLANT HVAC MAINTENANCE</t>
  </si>
  <si>
    <t>INTERN SUMMER STIPEND</t>
  </si>
  <si>
    <t>AT&amp;T MOBILITY TOWN ISSUED DEVICES AUG 2025</t>
  </si>
  <si>
    <t>PUBLIC WORKS DESIGN AND CONSTRUCTION PROJ 2024294</t>
  </si>
  <si>
    <t>675' - 500MCM UG ALU TRIPLEX</t>
  </si>
  <si>
    <t>POWER PLANT RUGS &amp; RAGS / FIRST AID AND SAFETY SUPPLIES</t>
  </si>
  <si>
    <t>SEPT FY 26 TELEVISION SERVICE POLICE DEPT</t>
  </si>
  <si>
    <t>AUG FY 26 ENVIRONMENTAL TRUST FUND REPORT</t>
  </si>
  <si>
    <t>AUG FY 26 ELECTRIC UNIVERSAL SERVICE PROGRAM FUND</t>
  </si>
  <si>
    <t>OCT FY 26 CRC BENEFITS OCT 2025 MED DENT VIS LIFE DIS</t>
  </si>
  <si>
    <t>APPL PAY #4 WELL HOUSE #1 POWELLTON AVE</t>
  </si>
  <si>
    <t>WELL MONITORING</t>
  </si>
  <si>
    <t>1" PIPING FOR CHEMICAL LINES WELL 2</t>
  </si>
  <si>
    <t>FIRE EXTINGUISHER SERVICE CALL TOWN HALL</t>
  </si>
  <si>
    <t>FLAG PUBLICATIONS ADMINISTRATION ADVERTISING / EVENTS FY 26</t>
  </si>
  <si>
    <t>HIGH TIDE TECHNOLOGIES GENERATION 2 CELLULAR</t>
  </si>
  <si>
    <t>FARMERS MARKET MANAGER SEPT-OCTOBER 2025</t>
  </si>
  <si>
    <t>REMOVE DEAD TREES AND STUMPS FROM SDP</t>
  </si>
  <si>
    <t>COPIER LEASE SHIRLEY'S MACHINE / LEASE COPIERS TH, PZ/ECON, MICHELLE</t>
  </si>
  <si>
    <t>GREENLAW SITE AND STORMWATER</t>
  </si>
  <si>
    <t>EMERGENCY WATER REPAIR UPSHURE LN</t>
  </si>
  <si>
    <t>GROUNDWORK SOLUTIONS</t>
  </si>
  <si>
    <t>WASHINGTON ST SIDEWALK REPAIRS / STORM DRAIN BOX / CURB REPLACEMENT / PUMP STATION / JEFFERSON ST / W BRANCH ST / LIBERTYTOWN RD WATER MAIN LEAK</t>
  </si>
  <si>
    <t>CHLORINE &amp; CAUSTIC WELL 2 &amp; 3 / HYPOCHLORITE</t>
  </si>
  <si>
    <t>BELT FILTER PRESS</t>
  </si>
  <si>
    <t>REIMB SAFETY GLASSES / REIMB SAFETY BOOTS</t>
  </si>
  <si>
    <t>PROPAXX PODS FOR TOILETS</t>
  </si>
  <si>
    <t>INSURANCE ADDING AND REMOVING A VEHICLE</t>
  </si>
  <si>
    <t>NATIONWIDE EMPLOYEE CONTRIBUTIONS DEFERRED COMP PPE 09/07/2025</t>
  </si>
  <si>
    <t>PRE EMPLOYMENT BACKGROUND CHECK</t>
  </si>
  <si>
    <t>CODERED ANNUAL CONTRACT FY26</t>
  </si>
  <si>
    <t>UNIFORM CLEANING SERVICES</t>
  </si>
  <si>
    <t>ELECTRIC &amp; WATER TOWN LOGO FOR TRUCKS</t>
  </si>
  <si>
    <t>STAINLESS STEEL BOLTS, NUTS, &amp; WASHERS</t>
  </si>
  <si>
    <t>VEHICLE MAINTENANCE / VEHICLE REPAIRS</t>
  </si>
  <si>
    <t>REFUND 9/14 PARK RESERVATION DEPOSIT</t>
  </si>
  <si>
    <t>PARTS FOR GRASS CUTTERS</t>
  </si>
  <si>
    <t>TRANSFORMER SERVICES &amp; TOOLS</t>
  </si>
  <si>
    <t>STRIKEFRIE II OLIGHT SUGUD FOREGRIP</t>
  </si>
  <si>
    <t>SOLAR ENERGY SERVICES</t>
  </si>
  <si>
    <t>113 SCHOOLFIELD STREET SOLAR ARRAY MAINTENANCE</t>
  </si>
  <si>
    <t>HPS RPM FIBERGLASS / LAG SCREWS / CARRIAGE BOLTS</t>
  </si>
  <si>
    <t>TRUCK OR TREAT DAY BANNERS CHANGED DATE OF EVENT</t>
  </si>
  <si>
    <t>50 CONES FOR WATER DEPT / CONES - SAFETY BARS 10' - ROLL-UP SIGN</t>
  </si>
  <si>
    <t>TECHMD IT ENGINEERING AMI SMART METER PROJECT / IT SERVICES MICROSOFT 365 &amp; AZURE</t>
  </si>
  <si>
    <t>REPAIR PARTS AND SUPPLIES FOR TRUCKS</t>
  </si>
  <si>
    <t>SEMI ANNUAL OIL SAMPLES ON TRANS. @ SAVAGE SUB</t>
  </si>
  <si>
    <t>DOT PHYSICAL CHESSER</t>
  </si>
  <si>
    <t>WORCESTER BOARD OF ED</t>
  </si>
  <si>
    <t>BUS FOR JOLLY ROGER AND TRAMPOLINE GRANT REIMBURSE</t>
  </si>
  <si>
    <t>FRANKLIN AV WTR TOWR &amp; WELL #2 / MULTI-PURPOSE BLDG DEMOLITION / HARRISON AVE RDWY REALIGNMENT / ON-CALL ENG SVCS / PAVEMENT OVERLAY / WTR CAPACITY MGMT / POWELLTON AVE WELL BLDG / STEPHEN DECATUR PK COMF STATION / WEST ST PUMP STN / PURNELL CROSS / PLANNING SVCS</t>
  </si>
  <si>
    <t>BOUNDS PAYMENT FY SEPT FY 26 JAMES BOUNDS BOND SPRAY SITE (APPKT03482)</t>
  </si>
  <si>
    <t>BOUNDS PAYMENT SEPT FY 26 JAMES BOUNDS BOND SPRAY SITE (APPKT03482)</t>
  </si>
  <si>
    <t>EMPLOYEE SWEATSHIRTS</t>
  </si>
  <si>
    <t>OKTOBERFEST SHIRTS</t>
  </si>
  <si>
    <t>100 AMP 27KV OVERHEAD LOADBREAK CUT-OUT</t>
  </si>
  <si>
    <t>ANIXTER POWER SOLUTIONS LLC</t>
  </si>
  <si>
    <t>PVC ADAPTERS / HENDRIX CABLE SPREADER OVERHEAD WIRE</t>
  </si>
  <si>
    <t>BACKBOARD RACK UTV / 346 EAST &amp; WEST WINCH / DIGESTER MIXER</t>
  </si>
  <si>
    <t>EMERG. FORCE WATER MAIN LEAK LIBERTYTOWN RD</t>
  </si>
  <si>
    <t>300FT 300P 3IN SCH40 PVC PIPE</t>
  </si>
  <si>
    <t>AUG FY 26 POWER PLANT NATURAL GAS</t>
  </si>
  <si>
    <t>REIMB 9/23 GAS FOR VEHICLE #77</t>
  </si>
  <si>
    <t>OCT FY 26 INTERNET &amp; DIGITAL SERVICES (multiple accounts)</t>
  </si>
  <si>
    <t>ENVIROCORP INC.</t>
  </si>
  <si>
    <t>ANNUAL HYDRANT SAMPLES</t>
  </si>
  <si>
    <t>FIRE EXTINGUISHER ANNUAL INSPECTION</t>
  </si>
  <si>
    <t>ADVERTISING FOR EVENTS FY 26 (APPKT03480)</t>
  </si>
  <si>
    <t>FLEET MAINTENANCE INC</t>
  </si>
  <si>
    <t>TRUCK 78 - REPLACE COLD SIDE INTERCOOLER PIPE</t>
  </si>
  <si>
    <t>QUARTERLY FOR PW, ELEC, WR COPIER MACHINES</t>
  </si>
  <si>
    <t>TRANSDUCER (APPKT03480)</t>
  </si>
  <si>
    <t>REIMB MILEAGE TO UNITED WAY OF THE EASTERN SHORE ANNUAL</t>
  </si>
  <si>
    <t>DYLAN DAVIS WATER/WASTEWATER TEMP. CERTIFICATE</t>
  </si>
  <si>
    <t>FRONT BRAKES TRUCK #70 / WINDSHIELD WIPERS TRUCK 52</t>
  </si>
  <si>
    <t>REIMB GIS CERTIFICATION PREGISP EXAM</t>
  </si>
  <si>
    <t>HORN REPAIR FUSE BLOCK</t>
  </si>
  <si>
    <t>OFFICE SUPPLIES (APPKT03480)</t>
  </si>
  <si>
    <t>ARRESTOR HPS PDV 100 OPTIMA (APPKT03480)</t>
  </si>
  <si>
    <t>SEPT FY 26 TOWN UTILITY BILLINGS</t>
  </si>
  <si>
    <t>UNIFORM SERVICES FOR ALL CREWS / WWTP (APPKT03480)</t>
  </si>
  <si>
    <t>SEPT FY 26 TELEPHONE SERVICES</t>
  </si>
  <si>
    <t>SEPT FY 26 TELEPHONE SERVICE 5 MILE BRANCH RD</t>
  </si>
  <si>
    <t>SEPT FY 26 VERIZON TELEPHONE SERVICE</t>
  </si>
  <si>
    <t>PARK RESERVATION REFUND</t>
  </si>
  <si>
    <t>OFFICER AND K-9 TRAINING / DYLAN DAVIS CDL CLASS B</t>
  </si>
  <si>
    <t>AUG REFUSE, RECYCLE, CAN PULLS, AND DEMOLITIONS</t>
  </si>
  <si>
    <t>PER DIEM LINEMAN TRAINING MEALS 10/22-10/24</t>
  </si>
  <si>
    <t>CATO OIL CO. INC.</t>
  </si>
  <si>
    <t>REIMB RED DOT SIGHT FLASHLIGHT HANDGUARD</t>
  </si>
  <si>
    <t>ENGINEERING SERVICES - MULTIPLE PROJECTS</t>
  </si>
  <si>
    <t>REIMB NOTARY RECERTIFICATION</t>
  </si>
  <si>
    <t>REIMB TRAVEL TO RECONNECT COMMUNITIES INSTITUTE</t>
  </si>
  <si>
    <t>EMERGENCY WATER LEAK 104 BAY ST</t>
  </si>
  <si>
    <t>TRANSFER OF PAYMENT TO MML-PEA</t>
  </si>
  <si>
    <t>PER DIEM MEALS PICK UP CHRISTMAS TREE SWANTON MD</t>
  </si>
  <si>
    <t>NEW TEE SHIRTS BRIAN FORTUNE (APPKT03490)</t>
  </si>
  <si>
    <t>25KV GROUNDING ELBOWS</t>
  </si>
  <si>
    <t>ATLANTIC MACHINERY INC</t>
  </si>
  <si>
    <t>VAC TRUCK ARMS</t>
  </si>
  <si>
    <t>MIP GRANT FUNDED OKTOBERFEST ENTERTAINMENT</t>
  </si>
  <si>
    <t>CHOPTANK ELECTRIC COOPERATIVE INC.</t>
  </si>
  <si>
    <t>SEPT FY26 UTILITY SERVICE FOR SPRAY SITES</t>
  </si>
  <si>
    <t>CODY NIBRS CONTRACT</t>
  </si>
  <si>
    <t>FEDEX CHARGE POINT PAPERS REIMB GASKILL</t>
  </si>
  <si>
    <t>EMERG. FORCE WATER MAIN LEAK LIBERTYTOWN RD / SAND BAGS</t>
  </si>
  <si>
    <t>ADVERTISING FOR EVENTS FY 26 / ADMINISTRATION ADVERTISING (APPKT03490)</t>
  </si>
  <si>
    <t>TRUCK 52 TIRE PLUG / TRUCK 81 TIRE PLUG (APPKT03490)</t>
  </si>
  <si>
    <t>TROUBLE SHOOTING BROAD ST LIFT STATION TRANSDUCER</t>
  </si>
  <si>
    <t>GREAT AMERICA PLOTTING MACHINE FOR P&amp;Z (APPKT03490)</t>
  </si>
  <si>
    <t>MIXOR MOTOR (APPKT03490)</t>
  </si>
  <si>
    <t>SPRAY HEADS</t>
  </si>
  <si>
    <t>BOUNDS PAYMENT OCT FY 26 JAMES BOUNDS BOND SPRAY SITE (APPKT03490)</t>
  </si>
  <si>
    <t>AUTO INSURANCE LGIT FOR NEW BUCKET TRUCK</t>
  </si>
  <si>
    <t>ROCKER PANEL INSERT 6742</t>
  </si>
  <si>
    <t>FREE CARRIAGE RIDES</t>
  </si>
  <si>
    <t>SEPT FY26 JANITORIAL SERVICES</t>
  </si>
  <si>
    <t>750 CABLE STRIPPER BLADES</t>
  </si>
  <si>
    <t>OFFICE SUPPLIES - STAPLES ORDER (APPKT03490)</t>
  </si>
  <si>
    <t>HPS AHLS397021E CONNECTOR AL BOLTED STIRUP (APPKT03490)</t>
  </si>
  <si>
    <t>SANTA</t>
  </si>
  <si>
    <t>MISCELLANEOUS SERVICES</t>
  </si>
  <si>
    <t>UNIFORM SERVICES FOR ALL CREWS (APPKT03490)</t>
  </si>
  <si>
    <t>DRUG TESTING</t>
  </si>
  <si>
    <t>APPKT03494 10/10/2025 - WCAC GRANT FUNDED FARMERS MARKET LIVE MUSIC</t>
  </si>
  <si>
    <t>APPKT03498 10/15/2025 - REPLACE TWO BAD EXTERIOR CAMERAS</t>
  </si>
  <si>
    <t>APPKT03498 10/15/2025 - WORK APPAREL</t>
  </si>
  <si>
    <t>APPKT03498 10/15/2025 - AFLAC EMPLOYEE PAID SUPPLEMENTAL INSURANCE</t>
  </si>
  <si>
    <t>APPKT03498 10/15/2025 - AT&amp;T MOBILITY TOWN ISSUED DEVICES SEPT 2025</t>
  </si>
  <si>
    <t>APPKT03498 10/15/2025 - ABBEY STORM DRAIN</t>
  </si>
  <si>
    <t>APPKT03498 10/15/2025 - BODY CAMERA CONTRACT</t>
  </si>
  <si>
    <t>APPKT03498 10/15/2025 - PUBLIC WORKS DESIGN AND CONSTRUCTION PROJ 2024294</t>
  </si>
  <si>
    <t>APPKT03498 10/15/2025 - RT SVCS PWR PLT OPER / VANFOSSEN PHSE CONVERTER</t>
  </si>
  <si>
    <t>APPKT03498 10/15/2025 - PARTS FOR GRASS CUTTERS AND TRACTORS</t>
  </si>
  <si>
    <t>APPKT03498 10/15/2025 - GENERATOR SERVICE AGREEMENT / TOWN HALL GENERATOR / G3520 ENGINE REPAIR</t>
  </si>
  <si>
    <t>APPKT03498 10/15/2025 - FIRST AID AND SAFETY SUPPLIES</t>
  </si>
  <si>
    <t>APPKT03498 10/15/2025 - FINGERPRINTING</t>
  </si>
  <si>
    <t>APPKT03498 10/15/2025 - DOWNTOWN WIFI</t>
  </si>
  <si>
    <t>APPKT03498 10/15/2025 - BUSINESS TELEPHONE SVCS</t>
  </si>
  <si>
    <t>APPKT03498 10/15/2025 - NOV FY26 MED DENT VIS LIFE DIS</t>
  </si>
  <si>
    <t>APPKT03498 10/15/2025 - FRANKLIN AVE WTR TWR WELL 2 / HARRISON AVE RDWAY REALIGNMENT</t>
  </si>
  <si>
    <t>APPKT03498 10/15/2025 - METER LOG ON</t>
  </si>
  <si>
    <t>APPKT03498 10/15/2025 - GYM MEMBERSHIP GRANT REIMBURSEMENT</t>
  </si>
  <si>
    <t>APPKT03498 10/15/2025 - ADVERTISING FOR EVENTS FY26</t>
  </si>
  <si>
    <t>APPKT03498 10/15/2025 - COPIER LEASES</t>
  </si>
  <si>
    <t>APPKT03498 10/15/2025 - TOWN HALL RENOVATION</t>
  </si>
  <si>
    <t>APPKT03498 10/15/2025 - CAUSTIC / HYPOCHLORITE WELLS 2 &amp; 3</t>
  </si>
  <si>
    <t>APPKT03498 10/15/2025 - TOOLS, PARTS, AND OTHER SUPPLIES SEPT FY26</t>
  </si>
  <si>
    <t>APPKT03498 10/15/2025 - MSAC GRANT FUNDED OKTOBERFEST SOUND TECH</t>
  </si>
  <si>
    <t>APPKT03498 10/15/2025 - EQUIPMENT AND UPFITTING DODGE DURANGO</t>
  </si>
  <si>
    <t>APPKT03498 10/15/2025 - BUSINESS SPONSORED PAINTED PUMPKINS FOR SCAV HUNT</t>
  </si>
  <si>
    <t>APPKT03498 10/15/2025 - PARK RESERVATION DEPOSIT REFUND</t>
  </si>
  <si>
    <t>APPKT03498 10/15/2025 - TOOLS, PARTS, AND OTHER SUPPLIES</t>
  </si>
  <si>
    <t>APPKT03498 10/15/2025 - NATIONWIDE EMPLOYEE CONTRIBUTIONS DEFERRED COMP PPE10/05</t>
  </si>
  <si>
    <t>APPKT03498 10/15/2025 - PRE EMPLOYMENT MADDOX</t>
  </si>
  <si>
    <t>APPKT03498 10/15/2025 - 2026 VISITOR GUIDE AD</t>
  </si>
  <si>
    <t>APPKT03498 10/15/2025 - MISS UTILITY TICKETS</t>
  </si>
  <si>
    <t>APPKT03498 10/15/2025 - BATTERY FOR TRUCK 40</t>
  </si>
  <si>
    <t>APPKT03498 10/15/2025 - GENERAL 100 MD PSC CASE NO. 9508</t>
  </si>
  <si>
    <t>APPKT03498 10/15/2025 - POSTAGE TOWN WIDE</t>
  </si>
  <si>
    <t>APPKT03498 10/15/2025 - KEYS FOR LOCKS TOWN HALL</t>
  </si>
  <si>
    <t>APPKT03498 10/15/2025 - SPRAY SITE 002</t>
  </si>
  <si>
    <t>APPKT03498 10/15/2025 - FIBERGLASS GUY STRAINS / BURN PIN TERM</t>
  </si>
  <si>
    <t>APPKT03498 10/15/2025 - AMI SMART METER PROJECT / IT SERVICES / SSL COPILOT</t>
  </si>
  <si>
    <t>APPKT03498 10/15/2025 - TOWN UTILITY BILLING OCT FY26</t>
  </si>
  <si>
    <t>APPKT03498 10/15/2025 - DIGGER DERRICK HYDRAULIC REPAIRS / E4 REPAIR ROTATION CYLINDER</t>
  </si>
  <si>
    <t>APPKT03498 10/15/2025 - UNIFORM SERVICES FOR ALL CREWS</t>
  </si>
  <si>
    <t>APPKT03498 10/15/2025 - EMPLOYEE DONATIONS/CONTRIBUTIONS PPE10/05</t>
  </si>
  <si>
    <t>APPKT03498 10/15/2025 - PARTIAL MONTH AFTER TRANSFER TO ATT</t>
  </si>
  <si>
    <t>APPKT03498 10/15/2025 - SEPT FY26 REFUSE, RECYCLE, CAN PULLS, AND DEMOLITIONS</t>
  </si>
  <si>
    <t>APPKT03498 10/15/2025 - PARK RESERVATION REFUND</t>
  </si>
  <si>
    <t>APPKT03501 10/16/2025 - GRANT FUNDED MSAC FACE PAINTING FOR OKTOBERFEST</t>
  </si>
  <si>
    <t>APPKT03501 10/16/2025 - WCAC GRANT FUNDED OKTOBERFEST MUSIC</t>
  </si>
  <si>
    <t>APPKT03506 10/24/2025 - 1NTEGER SECURITY SERVICES</t>
  </si>
  <si>
    <t>APPKT03506 10/24/2025 - ANNUAL FIRE INSPECTION</t>
  </si>
  <si>
    <t>APPKT03506 10/24/2025 - PAPER TOWELS AND CLEANING SUPPLIES</t>
  </si>
  <si>
    <t>APPKT03506 10/24/2025 - WASTE WATER PLANT BLOWER REPAIR</t>
  </si>
  <si>
    <t>APPKT03506 10/24/2025 - AT41M BUCKET TRUCK PARTS</t>
  </si>
  <si>
    <t>APPKT03506 10/24/2025 - FULL REEL OVERHEAD 1/0 TRIPLEX CABLE</t>
  </si>
  <si>
    <t>APPKT03506 10/24/2025 - CAMPAIGN HAT</t>
  </si>
  <si>
    <t>BEARING CONSTRUCTION</t>
  </si>
  <si>
    <t>APPKT03506 10/24/2025 - EMERGENCY VALVE REPLACEMENT / 346 WEST PUMP STATION INVESTIGATION</t>
  </si>
  <si>
    <t>APPKT03506 10/24/2025 - PHOTO CONTROL EYES / PVC PIPE</t>
  </si>
  <si>
    <t>APPKT03506 10/24/2025 - FY26 WORKERS COMPENSATION AUDITED FIGURES</t>
  </si>
  <si>
    <t>APPKT03506 10/24/2025 - SEPT FY26 POWER PLANT NATURAL GAS</t>
  </si>
  <si>
    <t>APPKT03506 10/24/2025 - SEPT FY26 UTILITY SERVICE FOR SPRAY SITES</t>
  </si>
  <si>
    <t>APPKT03506 10/24/2025 - SEPT FY26 POWER PLANT RUGS &amp; RAGS</t>
  </si>
  <si>
    <t>APPKT03506 10/24/2025 - MEALS TRAINING IPWDA CERTIFICATIONS PER DIEM</t>
  </si>
  <si>
    <t>APPKT03506 10/24/2025 - NOV FY26 INTERNET &amp; DIGITAL SERVICES / TV SERVICE POLICE DEPT</t>
  </si>
  <si>
    <t>APPKT03506 10/24/2025 - ELECTRIC UNIVERSAL SERVICES PROGRAM FUND (vendor 0000581)</t>
  </si>
  <si>
    <t>APPKT03506 10/24/2025 - ELECTRIC UNIVERSAL SERVICES PROGRAM FUND (vendor 0000584)</t>
  </si>
  <si>
    <t>APPKT03506 10/24/2025 - TRANSMITTER &amp; ANTENNAS</t>
  </si>
  <si>
    <t>APPKT03506 10/24/2025 - METER LOG ON</t>
  </si>
  <si>
    <t>APPKT03506 10/24/2025 - WELL HOUSE #1 POWELLTON AVE APPL #5</t>
  </si>
  <si>
    <t>APPKT03506 10/24/2025 - DRINKING WATER &amp; COOLER RENTAL FEES</t>
  </si>
  <si>
    <t>APPKT03506 10/24/2025 - MULCH DOWNTOWN AREA</t>
  </si>
  <si>
    <t>APPKT03506 10/24/2025 - WEEKLY DISCHARGE WELL SAMPLES / WELL MONITORING</t>
  </si>
  <si>
    <t>APPKT03506 10/24/2025 - GALV NIPPLES</t>
  </si>
  <si>
    <t>APPKT03506 10/24/2025 - LAB SUPPLIES FOR TESTING</t>
  </si>
  <si>
    <t>APPKT03506 10/24/2025 - ADVERTISING FOR EVENTS FY26</t>
  </si>
  <si>
    <t>APPKT03506 10/24/2025 - PARTS FOR TRUCK</t>
  </si>
  <si>
    <t>APPKT03506 10/24/2025 - GFOA MEMBERSHIP</t>
  </si>
  <si>
    <t>APPKT03506 10/24/2025 - QUARTERLY COPIER MACHINES PW, ELEC, WR</t>
  </si>
  <si>
    <t>APPKT03506 10/24/2025 - CAUSTIC SODA</t>
  </si>
  <si>
    <t>HERTRICH OF POCOMOKE INC</t>
  </si>
  <si>
    <t>APPKT03506 10/24/2025 - FORD F250 PUBLIC WORKS (x2)</t>
  </si>
  <si>
    <t>HID GLOBAL</t>
  </si>
  <si>
    <t>APPKT03506 10/24/2025 - FINGERPRINT MAINTENANCE CONTRACT</t>
  </si>
  <si>
    <t>APPKT03506 10/24/2025 - REAR TIRES FOR 19</t>
  </si>
  <si>
    <t>APPKT03506 10/24/2025 - QUARTERLY RENTAL WATER COOLER</t>
  </si>
  <si>
    <t>APPKT03506 10/24/2025 - PARK RESERVATION DEPOSIT REFUND</t>
  </si>
  <si>
    <t>APPKT03506 10/24/2025 - GAS FOR TORCH</t>
  </si>
  <si>
    <t>APPKT03506 10/24/2025 - LEGAL SHIELD EMPLOYEE PAID</t>
  </si>
  <si>
    <t>APPKT03506 10/24/2025 - POLICE VEH INSURANCE REMOVE ONE ADD TWO</t>
  </si>
  <si>
    <t>APPKT03506 10/24/2025 - J.MOCK WWTP TEMPORARY LICENSE</t>
  </si>
  <si>
    <t>APPKT03506 10/24/2025 - INSPECTION SERVICES</t>
  </si>
  <si>
    <t>APPKT03506 10/24/2025 - TOOLS, PARTS, AND OTHER SUPPLIES</t>
  </si>
  <si>
    <t>APPKT03506 10/24/2025 - NATIONWIDE EMPLOYEE CONTRIBUTIONS DEFERRED COMP PPE 10/19</t>
  </si>
  <si>
    <t>APPKT03506 10/24/2025 - MD DE RAILROAD LICENSE AGREEMENT</t>
  </si>
  <si>
    <t>APPKT03506 10/24/2025 - SEPT FY26 UNIFORM CLEANING SERVICES</t>
  </si>
  <si>
    <t>APPKT03506 10/24/2025 - FY25 AUDIT</t>
  </si>
  <si>
    <t>APPKT03506 10/24/2025 - STARTER REPLACEMENT 6739</t>
  </si>
  <si>
    <t>APPKT03506 10/24/2025 - CONFINED SPACE &amp; LOCKOUT TRAINING</t>
  </si>
  <si>
    <t>APPKT03506 10/24/2025 - FINANCE &amp; CUSTOMER SVC EMPLOYEE APPRECIATION LUNCH</t>
  </si>
  <si>
    <t>APPKT03506 10/24/2025 - STARTER FOR TRACTOR AT 002</t>
  </si>
  <si>
    <t>APPKT03506 10/24/2025 - E74 NEW BUCKET TRUCK RUBBER BLANKETS &amp; CANISTER</t>
  </si>
  <si>
    <t>APPKT03506 10/24/2025 - SPRAY SITE 002</t>
  </si>
  <si>
    <t>APPKT03506 10/24/2025 - WINDOW 10 CONTROL ROOM UPDATE / IT SERVICES CARDS COMPLETE</t>
  </si>
  <si>
    <t>APPKT03506 10/24/2025 - SEAT COVERS FOR TRUCK #41</t>
  </si>
  <si>
    <t>APPKT03506 10/24/2025 - MIP GRANT FUNDED STAGE RENTALS FY26</t>
  </si>
  <si>
    <t>APPKT03506 10/24/2025 - DIGGER DERRICK HYDRAULIC REPAIRS</t>
  </si>
  <si>
    <t>APPKT03506 10/24/2025 - TYLER SUPPORT SERVICES</t>
  </si>
  <si>
    <t>APPKT03506 10/24/2025 - PADLOCKS RED METER SOCKET SEALS</t>
  </si>
  <si>
    <t>APPKT03506 10/24/2025 - EMPLOYEE DONATIONS/CONTRIBUTIONS PPE 10/19</t>
  </si>
  <si>
    <t>APPKT03506 10/24/2025 - BUSINESS TELEPHONE CALLS</t>
  </si>
  <si>
    <t>APPKT03506 10/24/2025 - OCT FY26 TELEPHONE SERVICES</t>
  </si>
  <si>
    <t>APPKT03506 10/24/2025 - OCT FY26 TELEPHONE SERVICE 5 MILE BRANCH RD</t>
  </si>
  <si>
    <t>APPKT03506 10/24/2025 - COT FY26 VERIZON TELEPHONE SERVICE</t>
  </si>
  <si>
    <t>APPKT03506 10/24/2025 - METER RINGS FOR RESIDENTIAL ELECTRIC METERS</t>
  </si>
  <si>
    <t>APPKT03506 10/24/2025 - TESTING WATER SAMPLES</t>
  </si>
  <si>
    <t>APPKT03506 10/24/2025 - EFFLUENT OVERHEAD DOOR MOTOR REPAIR</t>
  </si>
  <si>
    <t>APPKT03513 - FY26 MEMBERSHIP GRANT (REIMBURSED)</t>
  </si>
  <si>
    <t>APPKT03513 - BUSINESS TELEPHONE SERVICES</t>
  </si>
  <si>
    <t>APPKT03513 - ENGINEERING/PLANNING SERVICES (multiple projects incl. Franklin Ave, Prunell Crossing, Powellton Ave Well, Berlin Lead Svc Line Repl, Berlin Bikeways)</t>
  </si>
  <si>
    <t>APPKT03513 - WELL HOUSE #1 POWELLTON AVE APPL #5</t>
  </si>
  <si>
    <t>APPKT03513 - TOP SOIL FOR PARK GRASS AT SDP</t>
  </si>
  <si>
    <t>APPKT03513 - DONATION FOR LATCHUM STEP-FATHER OBITUARY</t>
  </si>
  <si>
    <t>APPKT03513 - ADVERTISING (3 invoices)</t>
  </si>
  <si>
    <t>GENERAL REFRIGERATION</t>
  </si>
  <si>
    <t>APPKT03513 - POWER PLANT COOLING TOWER UPGRADE</t>
  </si>
  <si>
    <t>APPKT03513 - FLOOR &amp; CONTAINMENT AREA SEAL COAT PAINT FRANKLIN</t>
  </si>
  <si>
    <t>HAUN ENVIRONMENTAL CONSULTING</t>
  </si>
  <si>
    <t>APPKT03513 - ASBESTOS &amp; LEAD INSPECTION TOWN HALL B&amp;Z WELCOME</t>
  </si>
  <si>
    <t>HOLBROOK ENVIRONMENTAL</t>
  </si>
  <si>
    <t>APPKT03513 - POWER PLANT FUEL LINE TESTNG</t>
  </si>
  <si>
    <t>APPKT03513 - TOOLS, PARTS AND OTHER SUPPLIES (Sept invoices)</t>
  </si>
  <si>
    <t>APPKT03513 - INSPECTION SERVICES</t>
  </si>
  <si>
    <t>APPKT03513 - WIPERS FOR 6738</t>
  </si>
  <si>
    <t>APPKT03513 - DIAGNOSE EQUIPMENT TOWN HALL</t>
  </si>
  <si>
    <t>APPKT03513 - WATER DEPT ELECTRIC DEPT LOGOS</t>
  </si>
  <si>
    <t>APPKT03513 - SPONSORSHIP 10/24</t>
  </si>
  <si>
    <t>APPKT03513 - TRANSAMERICA EE PAID SUPPLEMENTAL INS.</t>
  </si>
  <si>
    <t>APPKT03513 - UNIFORM SERVICES FOR ALL CREWS (3 invoices)</t>
  </si>
  <si>
    <t>APPKT03513 - ANNUAL CAPWIN CONTRACT FY26</t>
  </si>
  <si>
    <t>APPKT03513 - COPIER LEASE AND CONTRACT</t>
  </si>
  <si>
    <t>APPKT03513 - BUSINESS TELEPHONE CALLS</t>
  </si>
  <si>
    <t>APPKT03513 - EMPLOYEE PAID SUPPLEMENTAL INS.</t>
  </si>
  <si>
    <t>APPKT03513 - DRUG TESTING</t>
  </si>
  <si>
    <t>APPKT03515 - AMAZON SUPPLIES FOR OYSTER SHELL PROJECT</t>
  </si>
  <si>
    <t>BEHIND THE LINE</t>
  </si>
  <si>
    <t>APPKT03515 - MENTAL WELLNESS CONTRACT</t>
  </si>
  <si>
    <t>APPKT03515 - TOOLS FOR TRUCK</t>
  </si>
  <si>
    <t>APPKT03515 - ADVERTISING</t>
  </si>
  <si>
    <t>APPKT03515 - TRUCK #81 TIRE PLUG</t>
  </si>
  <si>
    <t>APPKT03515 - GREAT AMERICA PLOTTING MACHINE FOR P&amp;Z</t>
  </si>
  <si>
    <t>APPKT03515 - WWTP HYPOCHLORITE</t>
  </si>
  <si>
    <t>APPKT03515 - F250 2026 TRUCK PW</t>
  </si>
  <si>
    <t>APPKT03515 - HVAC CEILING UNIT REPAIR</t>
  </si>
  <si>
    <t>APPKT03515 - SPRAY SITE 001 &amp; 002 / WWTP MEDICAL CABINETS</t>
  </si>
  <si>
    <t>APPKT03515 - LEAK DETECTION KIT / SILICONE LUBRICANT</t>
  </si>
  <si>
    <t>APPKT03515 - DOT PHYSICALS (Dennis, David Davis)</t>
  </si>
  <si>
    <t>CORE MONTHLY BILLING + SECURITY SERVICES (APPKT03533 11/21/2025)</t>
  </si>
  <si>
    <t>SOFTWARE MAINT. GALAXY ACCESS CONTROL</t>
  </si>
  <si>
    <t>TOWELS, PAPER TOWELS, CLEANING SUPPLIES, JANITORIAL SUPPLIES</t>
  </si>
  <si>
    <t>1.5 MAN KIT CENTER RAIL SYSTEM + AT41M BUCKET TRUCK PARTS</t>
  </si>
  <si>
    <t>SPAN GUYS 2 STANDARD BOXES GCC30-78R (STOCK)</t>
  </si>
  <si>
    <t>FIX &amp; WELD TOP PLATE ON SIDE CUTTER + CHRISTMAS TREE &amp; MENORAH STANDS</t>
  </si>
  <si>
    <t>AT&amp;T MOBILITY TOWN ISSUED DEVICES OCT 2025</t>
  </si>
  <si>
    <t>VAC-CON TRUCK</t>
  </si>
  <si>
    <t>BEACON ELECTRIC</t>
  </si>
  <si>
    <t>VISITOR'S CENTER ASSESS ELECTRICAL SYSTEM</t>
  </si>
  <si>
    <t>PUBLIC WORKS DESIGN AND CONSTRUCTION PROJ 202429</t>
  </si>
  <si>
    <t>POWER PLANT PEST CONTROL</t>
  </si>
  <si>
    <t>SAFETY WORK BOOTS</t>
  </si>
  <si>
    <t>113 SCHOOLFIELD STREET GENERATOR-PM + BACKHOE WINDOW</t>
  </si>
  <si>
    <t>OCT FY 26 UTILITY SERVICE FOR SPRAY SITES</t>
  </si>
  <si>
    <t>OCT FY 26 POWER PLANT RUGS &amp; RAGS REPLACEMENT</t>
  </si>
  <si>
    <t>INTERNET &amp; DIGITAL SERVICES, TELEVISION SERVICE</t>
  </si>
  <si>
    <t>DEC FY 26 CRC BENEFITS DEC 2025 MED DENT VIS LIFE DIS</t>
  </si>
  <si>
    <t>VARIOUS PLANNING PROJECTS</t>
  </si>
  <si>
    <t>DELAWARE BEACH LIFE AD</t>
  </si>
  <si>
    <t>DRIVEN OVER GIVEN</t>
  </si>
  <si>
    <t>WWTP PFAS EFFLUENT MONITORING PLAN</t>
  </si>
  <si>
    <t>WELL MONITORING + WEEKLY DISCHARGE WELL SAMPLES</t>
  </si>
  <si>
    <t>ADVERTISING</t>
  </si>
  <si>
    <t>TRUCK #48 CHECK ENGINE LIGHT</t>
  </si>
  <si>
    <t>ASSESS ICE MACHINE NO ICE</t>
  </si>
  <si>
    <t>COPIER LEASE SHIRLEY'S MACHINE + LEASE COPIERS TH, PZ/ECON, MICHELLE</t>
  </si>
  <si>
    <t>BUTTERCUP CT WATER MAIN LEAK</t>
  </si>
  <si>
    <t>MAIN ST IMPROV GRANT FUNDED PETTING ZOO FARMS MRKS</t>
  </si>
  <si>
    <t>SLUDGE PUMP</t>
  </si>
  <si>
    <t>ICE CONCEPTS</t>
  </si>
  <si>
    <t>BUSINESS SPONSORED ICE SCULPTURES</t>
  </si>
  <si>
    <t>REIMB MILEAGE TO MEETINGS IN SALISBURY + MILEAGE TO SNOW HILL, FOOD FOR EMPLY LUNCHEON</t>
  </si>
  <si>
    <t>NOV FY26 LEGAL SHIELD EMPLOYEE PAID</t>
  </si>
  <si>
    <t>INSURANCE FOR WATER RESOURCES TRUCK</t>
  </si>
  <si>
    <t>MCGEE FENCE</t>
  </si>
  <si>
    <t>SAVAGE SUB-REPLACE FENCE POSTS</t>
  </si>
  <si>
    <t>REIMB PICK UP TOWN CHRISTMAS TREE SWANTON, MD 21561</t>
  </si>
  <si>
    <t>SPRAY SITE TRUCK SERVICE + AC DELCO BELTS (POWER PLANT) #2 AIR COMPRESSOR</t>
  </si>
  <si>
    <t>FY 26 NATIONWIDE EMPLOYEE CONTRIBUTIONS DEFFERED COMP</t>
  </si>
  <si>
    <t>MSAC GRAND FUNDED PIPES AND DRUMS PERFORMANCE</t>
  </si>
  <si>
    <t>BATTERY FOR LAWN MOWER + BATTERY FOR AIR COMPRESSOR</t>
  </si>
  <si>
    <t>UNIFORM CLEANING SERVICES (APPKT03533)</t>
  </si>
  <si>
    <t>POWER PLANT ANNUAL FUEL LINE CATHODIC SURVEY</t>
  </si>
  <si>
    <t>NOV FY 26 JANITORIAL SERVICES</t>
  </si>
  <si>
    <t>E74 NEW BUCKET TRUCK EQUIPMENT &amp; HOIST</t>
  </si>
  <si>
    <t>SEPTAGE SCREEN SENSOR + 3/4" SOLENOID VALVE</t>
  </si>
  <si>
    <t>IT SERVICES - CARDS COMPLETE + MICROSOFT 365 &amp; AZURE (APPKT03533)</t>
  </si>
  <si>
    <t>MID-ATLANTIC JUDGES PAYMENT FOR CHRISTMAS PARADE + TOWN UTILITY BILLINGS</t>
  </si>
  <si>
    <t>SPONSORSHIP</t>
  </si>
  <si>
    <t>POWELLTON AVE SUPPLIES</t>
  </si>
  <si>
    <t>UNIFORM SERVICES FOR ALL CREWS + WWTP GLOVES + WWTP MEDICAL CABINETS (APPKT03533)</t>
  </si>
  <si>
    <t>POWER PLANT NATURAL GAS</t>
  </si>
  <si>
    <t>FY 26 UNITED WAY EMPLOYEE DONATIONS/CONTRIBUTIONS</t>
  </si>
  <si>
    <t>LAB SUPPLIES + POWELLTON WELL HOUSE SUPPLIES + CHART PAPER (APPKT03533)</t>
  </si>
  <si>
    <t>NOV FY 26 TELEPHONE SERVICES</t>
  </si>
  <si>
    <t>NOV FY 26 TELEPHONE SERVICE 5 MILE BRANCH RD</t>
  </si>
  <si>
    <t>NOV FY 26 VERIZON TELEPHONE SERVICE</t>
  </si>
  <si>
    <t>TESTING WATER SAMPLES</t>
  </si>
  <si>
    <t>HUNTER &amp; MUMFORD DOT PHYSICAL + DOT PHYSICAL CHARLES</t>
  </si>
  <si>
    <t>SEPT-OCT FY26 BERLIN YOUTH PROGRAM</t>
  </si>
  <si>
    <t>COVERAGE FOR DISPATCH HOLIDAY PARTY (APPKT03555 12/15/2025)</t>
  </si>
  <si>
    <t>1NTEGER SECURITY SERVICES (APPKT03561 12/16/2025)</t>
  </si>
  <si>
    <t>VARIOUS YARD SIGNS</t>
  </si>
  <si>
    <t>PAPER TOWELS AND CLEANING SUPPLIES (APPKT03561)</t>
  </si>
  <si>
    <t>AFLAC EMPLOYEE PAID SUPPLEMENTAL INSURANCE (APPKT03561)</t>
  </si>
  <si>
    <t>2 REELS OF 4/0 UNDERGRND TRIPLEX CABLE 1000FT</t>
  </si>
  <si>
    <t>AT&amp;T MOBILITY TOWN ISSUED DEVICES NOV 2025</t>
  </si>
  <si>
    <t>PEST CONTROL ANNUAL (APPKT03561)</t>
  </si>
  <si>
    <t>SCADA COMPUTERS &amp; DRYING BEDS CONTROL SCREEN</t>
  </si>
  <si>
    <t>NOV FY 26 GAS UTILITY FOR POLICE DEPT</t>
  </si>
  <si>
    <t>NOV FY 26 POWER PLANT RUGS &amp; RAGS REPLACEMENT (APPKT03561)</t>
  </si>
  <si>
    <t>FY 26 FINGERPRINTING (APPKT03561)</t>
  </si>
  <si>
    <t>DEC FY26 DOWNTOWN WIFI</t>
  </si>
  <si>
    <t>NOV FY 26 ENVIRONMENTAL TRUST FUND REPORT</t>
  </si>
  <si>
    <t>NOV FY 26 ELECTRIC UNIVERSAL SERVICE PROGRAM FUND</t>
  </si>
  <si>
    <t>DAVID C GASKILL, ATTORNEY AT LAW</t>
  </si>
  <si>
    <t>REIMB COURT FEES FOR UTILITY CUSTOMER SETTLEMENT</t>
  </si>
  <si>
    <t>METER LOG ON (APPKT03561)</t>
  </si>
  <si>
    <t>DISTILLED WATER (APPKT03561)</t>
  </si>
  <si>
    <t>FLOWER ST MULTIPURPOSE BLDG</t>
  </si>
  <si>
    <t>PLOTTING MACHINE FOR P&amp;Z + COPIER LEASE SHIRLEY'S MACHINE + LEASE COPIERS TH, PZ/ECON, MICHELLE (APPKT03561)</t>
  </si>
  <si>
    <t>CHLORINE</t>
  </si>
  <si>
    <t>HENLEY CONSTRUCTION</t>
  </si>
  <si>
    <t>STEPHEN DECATUR PARK COMFORT STATION</t>
  </si>
  <si>
    <t>346 WEST (APPKT03561)</t>
  </si>
  <si>
    <t>TOOLS PARTS &amp; OTHER SUPPLIES (NOV FY26 + OCT FY26)</t>
  </si>
  <si>
    <t>QUARTERLY RENTAL OF WATER COOLER + TOWN HALL WATER COOLER RENTAL X2</t>
  </si>
  <si>
    <t>DEC FY 26 JAMES BOUNDS BOND SPRAY SITE</t>
  </si>
  <si>
    <t>REIMB WORK BOOTS</t>
  </si>
  <si>
    <t>DEC FY 26 MARYLAND FRANCHISE TAX</t>
  </si>
  <si>
    <t>INSPECTION SERVICES (APPKT03561)</t>
  </si>
  <si>
    <t>UNIFORM CLEANING SERVICES (APPKT03561)</t>
  </si>
  <si>
    <t>DECAL TRUCK ALL DEPARTMENTS</t>
  </si>
  <si>
    <t>PYRZ WATER SUPPY</t>
  </si>
  <si>
    <t>EMERGENCY REPAIR TO NETZSCH STATOR</t>
  </si>
  <si>
    <t>PER DIEM GFOA COMMITTEE MEETING HYATT HOTEL 1/25-27</t>
  </si>
  <si>
    <t>WWTP DIESEL FUEL</t>
  </si>
  <si>
    <t>REIMB COLLEGE TUITION</t>
  </si>
  <si>
    <t>STAPLES OFFICE SUPPLIES</t>
  </si>
  <si>
    <t>IT SERVICES - CARDS COMPLETE + MICROSOFT 365 &amp; AZURE (APPKT03561)</t>
  </si>
  <si>
    <t>OCT 2025 TRANSAMERICA EE PAID SUPPLEMENTAL INS. (APPKT03561)</t>
  </si>
  <si>
    <t>TOWN OF BERLIN SHIRTS FOR CREW + UNIFORM SERVICES FOR ALL CREWS (APPKT03561)</t>
  </si>
  <si>
    <t>REPLACEMENT QUILL FOR 1/2IN PROCESS</t>
  </si>
  <si>
    <t>NOV FY 26 REFUSE, RECYCLE, CAN PULLS, DEMOLITIONS + SLUDGE DISPOSAL</t>
  </si>
  <si>
    <t>OCT PAYMENT - LISA PURNELL (APPKT03564 12/16/2025)</t>
  </si>
  <si>
    <t>CHRISTMAS CARDS</t>
  </si>
  <si>
    <t>REPAIR TREATMENT PLT ELECTRICAL RM AC</t>
  </si>
  <si>
    <t>6 FOOT VAC TUBE</t>
  </si>
  <si>
    <t>SAFTEY LIGHTS, FRONT AND REAR LIGHTS FOR KUBOTA</t>
  </si>
  <si>
    <t>SCALE INSPECTION</t>
  </si>
  <si>
    <t>POWER PLT G3520 ENGINE PM2 MAINTENANCE &amp; OIL; REPLACE GENERATOR RECTIFIER; REPLACE HEATER HOSES</t>
  </si>
  <si>
    <t>NOV FY 26 UTILITY SERVICE FOR SPRAY SITES</t>
  </si>
  <si>
    <t>WORK BOOTS REIMBURSEMENT</t>
  </si>
  <si>
    <t>JAN FY 26 INTERNET &amp; DIGITAL SERVICES; DEC FY 26 TELEVISION SERVICE POLICE DEPT</t>
  </si>
  <si>
    <t>JAN FY 26 CRC BENEFITS JAN 2026 MED DENT VIS LIFE DIS</t>
  </si>
  <si>
    <t>WEEKLY DISCHARGE WELL SAMPLES; WELL MONITORING</t>
  </si>
  <si>
    <t>ANNUAL FIRE INSPECTION</t>
  </si>
  <si>
    <t>SERVICE 39 &amp; 72 &amp; 61 &amp; 48 &amp; WINSTON TRAILER; SERVICE 48, 61, WINSTON TRAILOR</t>
  </si>
  <si>
    <t>PARTS</t>
  </si>
  <si>
    <t>NEW PUMP FOR 346 WEST</t>
  </si>
  <si>
    <t>DEPOSIT EDLEWEIS BAND OKTOBERFEST 26</t>
  </si>
  <si>
    <t>PRAESTOL K290FLX</t>
  </si>
  <si>
    <t>STORM DRAIN- WESTMINESTER &amp; ABBEY</t>
  </si>
  <si>
    <t>LIGHT INSTALLATION 6748; LIGHTING FOR 6738</t>
  </si>
  <si>
    <t>12/15 FY 26 LEGAL SHIELD EMPLOYEE PAID</t>
  </si>
  <si>
    <t>TRASH CAN LID REPLACEMENT</t>
  </si>
  <si>
    <t>DEFROST FLUID</t>
  </si>
  <si>
    <t>NATIONWIDE EMPLOYEE CONTRIBUTIONS DEFFERED COMP PPE 12/14/2025</t>
  </si>
  <si>
    <t>AMI METER PROJ PSS AGRMNT &amp; 2026 ANNUAL HOST FEE</t>
  </si>
  <si>
    <t>DEC FY 26 JANITORIAL SERVICES</t>
  </si>
  <si>
    <t>DIESEL FUEL SITES 001 &amp; 002</t>
  </si>
  <si>
    <t>SOMERSET WELL DRILLING</t>
  </si>
  <si>
    <t>FLOWER ST TEST WELL APPL PAY #2</t>
  </si>
  <si>
    <t>DEC FY 26 TOWN UTILITY BILLINGS</t>
  </si>
  <si>
    <t>E6 DIGGER REPLACE HYDRAULIC SWIVEL</t>
  </si>
  <si>
    <t>UNITED WAY EMPLOYEE DONATIONS/CONTRIBUTIONS PPE 12/14/2025</t>
  </si>
  <si>
    <t>TIME MARK ALTERNATING RELAY 120V</t>
  </si>
  <si>
    <t>2026 ASSOCIATE MEMBER DUES; ELECTRIC VEHICLE DIELECTRIC TESTING</t>
  </si>
  <si>
    <t>DEC FY 26 TELEPHONE SERVICES</t>
  </si>
  <si>
    <t>DEC FY 26 TELEPHONE SERVICE 5 MILE BRANCH RD</t>
  </si>
  <si>
    <t>DEC FY 26 VERIZON TELEPHONE SERVICE</t>
  </si>
  <si>
    <t>MCWILLIAMS DOT PHYSICAL &amp; MOCK HEP SERIES PT.3</t>
  </si>
  <si>
    <t>AT41M BUCKET TRUCK PARTS</t>
  </si>
  <si>
    <t>VIDEO SEWER AT TOWN HALL</t>
  </si>
  <si>
    <t>BARCO PRODUCTS</t>
  </si>
  <si>
    <t>METAL TRASH CAN AND LINERS DOWNTOWN</t>
  </si>
  <si>
    <t>CAT 306 EXCAVATOR</t>
  </si>
  <si>
    <t>DEC FY 26 INTERNET &amp; DIGITAL SERVICES</t>
  </si>
  <si>
    <t>6FT SENSOR PADS &amp; MY360 TRAINING</t>
  </si>
  <si>
    <t>FIRE EXTINGUISHER ANNUAL INSP. PUBLIC WORKS</t>
  </si>
  <si>
    <t>BRAKE DRUMS TRUCK 82</t>
  </si>
  <si>
    <t>MAILMOVERS OUTSOURCED UTILITY BILLS</t>
  </si>
  <si>
    <t>2025 MOSQUITO SPRAYING</t>
  </si>
  <si>
    <t>TOOLS, PARTS, AND OTHER SUPPLIES; PARTS FOR VEHICLE REPAIRS</t>
  </si>
  <si>
    <t>NATIONWIDE EMPLOYEE CONTRIBUTIONS DEFFERED COMP PPE 12/28/2025</t>
  </si>
  <si>
    <t>EUSP BILL PAYMENT</t>
  </si>
  <si>
    <t>55 GALLON DRYDENE DIESEL DEF</t>
  </si>
  <si>
    <t>NYE DJ</t>
  </si>
  <si>
    <t>WWTP POLE BARN HEATERS REPLACEMENT</t>
  </si>
  <si>
    <t>DECEMBER STAPLES OFFICE SUPPLIES ORDER</t>
  </si>
  <si>
    <t>BROAD ST PATCH PAVING; 212 WEST ST WATER MAIN BREAK</t>
  </si>
  <si>
    <t>UNIFORM SERVICES FOR ALL CREWS; MEDICAL SUPPLIES</t>
  </si>
  <si>
    <t>UNITED WAY EMPLOYEE DONATIONS/CONTRIBUTIONS PPE 12/28/25</t>
  </si>
  <si>
    <t>FLOATS AND PIPE MARKERS</t>
  </si>
  <si>
    <t>CAR WASH SOLUTION</t>
  </si>
  <si>
    <t>INTEGER SECURITY SERVICES</t>
  </si>
  <si>
    <t>CHAIN FOR MIXER</t>
  </si>
  <si>
    <t>AT&amp;T MOBILITY TOWN ISSUED DEVICES DEC 2025</t>
  </si>
  <si>
    <t>FUEL PUMP FOR CUT OFF SAW</t>
  </si>
  <si>
    <t>RETIREMENT DINNER ARNOLD DOWNING</t>
  </si>
  <si>
    <t>ANNUAL RIGHTS TO MUSIC FEE</t>
  </si>
  <si>
    <t>SERVICE EQUIPMENT @ SITE 001 &amp; 002</t>
  </si>
  <si>
    <t>AIR FILTERS FOR SKIDLOADER 272</t>
  </si>
  <si>
    <t>DEC FY 26 UTILITY SERVICE FOR SPRAY SITES</t>
  </si>
  <si>
    <t>DEC FY 26 POWER PLANT RUGS &amp; RAGS REPLACEMENT</t>
  </si>
  <si>
    <t>FEB FY 26 INTERNET &amp; DIGITAL SERVICES</t>
  </si>
  <si>
    <t>2026 Q1 RANDOM DRUG TESTING</t>
  </si>
  <si>
    <t>VALVE AND CURB STOP BOXES</t>
  </si>
  <si>
    <t>HARVEST TECHNOLOGY</t>
  </si>
  <si>
    <t>HUBS FOR MOLE; MATERIALS TO REPAIR CONTACTOR; DRYING BED CONTROL SYSTEM</t>
  </si>
  <si>
    <t>LGIT INSURANCE COVERAGE MINI EXCAVATOR</t>
  </si>
  <si>
    <t>PARTS FOR VEHICLE REPAIRS; PARTS FOR TAMP MACHINE</t>
  </si>
  <si>
    <t>NATIONWIDE EMPLOYEE CONTRIBUTIONS DEFERRED COMP PPE 01/25/2026</t>
  </si>
  <si>
    <t>GFOA 120 CONF SOUTHWEST FLIGHTS SALEH &amp; COFFEY</t>
  </si>
  <si>
    <t>IT SERVICES - MICROSOFT 365 &amp; AZURE; IT SERVICES - CARDS COMPLETE</t>
  </si>
  <si>
    <t>METER SEALS HASP FOR RESIDENTIAL METER SOCKETS</t>
  </si>
  <si>
    <t>MEDICAL SUPPLIES</t>
  </si>
  <si>
    <t>UNITED WAY EMPLOYEE DONATIONS/CONTRIBUTIONS PPE 01/25/2026</t>
  </si>
  <si>
    <t>UNIVAR SOLUTIONS USA</t>
  </si>
  <si>
    <t>AD COMMERCIAL HOOKED ON OC 2026</t>
  </si>
  <si>
    <t>WELL HOUSE SUPPLIES</t>
  </si>
  <si>
    <t>JAN FY 26 TELEPHONE SERVICES</t>
  </si>
  <si>
    <t>JAN FY 26 TELEPHONE SERVICE 5 MILE BRANCH RD</t>
  </si>
  <si>
    <t>JAN FY 26 VERIZON TELEPHONE SERVICE</t>
  </si>
  <si>
    <t>OFFICER AND K-9 TRAINING</t>
  </si>
  <si>
    <t>FY26 BERLIN YOUTH PROGRAM DEC FY26</t>
  </si>
  <si>
    <t>JAN FY 26 JANITORIAL SERVICES</t>
  </si>
  <si>
    <t>GROUND CONTROL TOURING</t>
  </si>
  <si>
    <t>GRANT FUNDED BY MD STATE ARTS COUNCIL</t>
  </si>
  <si>
    <t>COVER DISPATCH FOR CHIEFS RETIREMENT FUNCTION</t>
  </si>
  <si>
    <t>ACCURATE CALBRATION SERVICES</t>
  </si>
  <si>
    <t>ABS CONTRACT TH, PZ &amp; ECO, BILLING SUP &amp; OVERAGES</t>
  </si>
  <si>
    <t>REVIEW &amp; RESPOND - PFAS MONITORING PLAN</t>
  </si>
  <si>
    <t>STIPEND #2 INTERN STIPEND 2026</t>
  </si>
  <si>
    <t>CHAIN FOR CHAIN SAW &amp; POLE SAW</t>
  </si>
  <si>
    <t>STEP FOR SKID STEER</t>
  </si>
  <si>
    <t>INTERNET &amp; DIGITAL SERVICES / DOWNTOWN WIFI</t>
  </si>
  <si>
    <t>TRUCK # 40 WINDSHIELD REPLACEMENT</t>
  </si>
  <si>
    <t>DISTILLED WATER / DRINKING WATER &amp; COOLER RENTAL FEES</t>
  </si>
  <si>
    <t>3/4IN MALE ADAPTORS</t>
  </si>
  <si>
    <t>TRUCK # 72 - BLOWER MOTOR REPAIR</t>
  </si>
  <si>
    <t>FLEET TITANS</t>
  </si>
  <si>
    <t>8FT PUSH BOX FOR SNOW PLOW</t>
  </si>
  <si>
    <t>HYDRANTS &amp; VALVES &amp; PARTS- BAY ST, N MAIN, BUCKING</t>
  </si>
  <si>
    <t>GLOBAL PUBLIC SAFETY</t>
  </si>
  <si>
    <t>SIX GUN MOUNTS FOR VEHICLES</t>
  </si>
  <si>
    <t>TREE SERVICE AT DECATOR PARK</t>
  </si>
  <si>
    <t>RETIREMENT AND REPLACEMENT BADGES</t>
  </si>
  <si>
    <t>PLOTTING MACHINE FOR P&amp;Z / COPIER LEASE</t>
  </si>
  <si>
    <t>212 WEST ST WATER MAIN BREAK / REPLACING HYDRANTS / 523 S MAIN WATER LINE / PATCH PAVING</t>
  </si>
  <si>
    <t>TOOLS, PARTS, OTHER SUPPLIES</t>
  </si>
  <si>
    <t>REPLAE BROKEN 10' SNOW PLOW BLADE ON TRUCK 38</t>
  </si>
  <si>
    <t>JAMES BOUNDS BOND SPRAY SITE</t>
  </si>
  <si>
    <t>MARYLAND INDUSTRIAL TRUCKS</t>
  </si>
  <si>
    <t>BRUSHES SWEEPER</t>
  </si>
  <si>
    <t>MEAD &amp; HUNT</t>
  </si>
  <si>
    <t>BERLIN MD COMPREHENSIVE PLAN UPDATE</t>
  </si>
  <si>
    <t>PARTS FOR TRASH CARTS LIDS</t>
  </si>
  <si>
    <t>OIL FOR EFFLUENT PUMPS / SNOW PLOW PARTS / MISC PARTS</t>
  </si>
  <si>
    <t>FY 25 AUDIT</t>
  </si>
  <si>
    <t>TRUCK 83 SPARK PLUGS / E 22 OIL &amp; FILTER REPAIR</t>
  </si>
  <si>
    <t>TWO TIRE MOUNT BALANCE ALIGN 6735</t>
  </si>
  <si>
    <t>DIESEL FUEL FOR GENERATORS</t>
  </si>
  <si>
    <t>STAPLES OFFICE SUPPLIES ORDER</t>
  </si>
  <si>
    <t>REPAIR PARTS AND SUPPLIES FOR TRUCKS / TRUCK 82 REPAIRS WIRING HARNESS</t>
  </si>
  <si>
    <t>REPAIR HYDRAULIC POLE LIFT</t>
  </si>
  <si>
    <t>TYLER ANNUAL SOFTWARE SUPPORT / MULTISPEAK METER TYLER SUPPORT</t>
  </si>
  <si>
    <t>UNIFORM SERVICES FOR ALL CREWS / MEDICAL SUPPLIES</t>
  </si>
  <si>
    <t>NEW WATER EMPLOYEE HEP SERIES AND DTAP</t>
  </si>
  <si>
    <t>VARIOUS ENGINEERING PROJECTS</t>
  </si>
  <si>
    <t>PROJ BERLIN SWM SUPPORT TASK 01 ON CALL SUPPORT</t>
  </si>
  <si>
    <t>ANNUAL SAFETY BOOTS</t>
  </si>
  <si>
    <t>GYM MEMBERSHIP GRANT REIMBURSEMENT</t>
  </si>
  <si>
    <t>TOILET PAPER &amp; PAPER TOWELS &amp; AIRSOFT SPRAY</t>
  </si>
  <si>
    <t>REMOVE MIXER MOTOR</t>
  </si>
  <si>
    <t>ALUM HYLUGS YCA25R2N 2 HOLE CONNECTOR</t>
  </si>
  <si>
    <t>AT&amp;T MOBILITY TOWN ISSUED DEVICES JAN 2026</t>
  </si>
  <si>
    <t>REPAIRING AND REPLACING NOZELS</t>
  </si>
  <si>
    <t>BERLIN HERITAGE FOUNDATION</t>
  </si>
  <si>
    <t>HUMPHREY'S FOUNDATION RESTORATION PROJECT</t>
  </si>
  <si>
    <t>PROJ P.078283 FINANCIAL SERVICES</t>
  </si>
  <si>
    <t>FILTERS FOR RTV AT SPRAY SITE</t>
  </si>
  <si>
    <t>MARINE &amp; LITHIUM COMPLEX GREASE</t>
  </si>
  <si>
    <t>JAN FY 26 UTILITY SERVICE FOR SPRAY SITES</t>
  </si>
  <si>
    <t>JAN FY 26 POWER PLANT RUGS &amp; RAGS REPLACEMENT</t>
  </si>
  <si>
    <t>MAR FY 26 INTERNET &amp; DIGITAL SERVICES / TV SERVICE</t>
  </si>
  <si>
    <t>JAN FY 26 ENVIRONMENTAL TRUST FUND REPORT</t>
  </si>
  <si>
    <t>JAN FY 26 ELECTRIC UNIVERSAL SERVICE PROGRAM FUND</t>
  </si>
  <si>
    <t>MARCH FY 26 CRC BENEFITS MAR 2026 MED DENT VIS LIFE DIS</t>
  </si>
  <si>
    <t>EAST JORDAN IRON WORKS</t>
  </si>
  <si>
    <t>MAN HOLE LIDS &amp; LAMP POLE COVERS</t>
  </si>
  <si>
    <t>WEEKLY DISCHARGE WELL SAMPLES</t>
  </si>
  <si>
    <t>FLAG PUBLICATIONS ADMINISTRATION ADVERTISING</t>
  </si>
  <si>
    <t>BROAD ST LIFT STATION</t>
  </si>
  <si>
    <t>RETIREMENT WALLETS</t>
  </si>
  <si>
    <t>REIMB MILEAGE TO &amp; FROM MML GOV CALVERT H</t>
  </si>
  <si>
    <t>GREAT AMERICA LEASE COPIERS / QUARTERLY COPIER MACHINES</t>
  </si>
  <si>
    <t>CHLORINE WWTP</t>
  </si>
  <si>
    <t>CHECK CONTROLS ON FANS, LAKESIDE SEPTAGE, SBR1 VAL</t>
  </si>
  <si>
    <t>CYLINDER ASSY TRUCK 3 LIFTGATE</t>
  </si>
  <si>
    <t>TWO VEHICLE INSTALLS</t>
  </si>
  <si>
    <t>JAN/FEB FY 26 LEGAL SHIELD EMPLOYEE PAID</t>
  </si>
  <si>
    <t>REIMB EAR PROTECTION EARPLUGS</t>
  </si>
  <si>
    <t>TOOLS, PARTS, AND OTHER SUPPLIES / VEHICLE PARTS</t>
  </si>
  <si>
    <t>T145 WATCHDOG 3 YR SUITE, CONFIGURE/MIGRATE/INSTAL</t>
  </si>
  <si>
    <t>HVAC REPAIR</t>
  </si>
  <si>
    <t>BATTERIES FOR FRANKLIN KNOL</t>
  </si>
  <si>
    <t>WHITE LOGOS TOWN VEHICLES</t>
  </si>
  <si>
    <t>DONATION FOR COUNCILMEMBER GREEN'S FATHER-IN-LAW</t>
  </si>
  <si>
    <t>FRANKLIN KNOLL TROUBLESHOOTING</t>
  </si>
  <si>
    <t>DESIEL FUEL</t>
  </si>
  <si>
    <t>PARTS TO SERVICE TRACTORS &amp; LAWN MOWERS / PUBLIC WORKS TRACTOR REPAIR</t>
  </si>
  <si>
    <t>SHORITE CONTROLS</t>
  </si>
  <si>
    <t>TRANSDUCERS AND FLOWMETER REPAIR</t>
  </si>
  <si>
    <t>IT SERVICES - MICROSOFT 365 &amp; AZURE / CARDS COMPLETE</t>
  </si>
  <si>
    <t>FEB FY 26 TOWN UTILITY BILLINGS</t>
  </si>
  <si>
    <t>UNIFORM SERVICES FOR ALL CREWS / GLOVES &amp; MEDICAL SUPPLIES</t>
  </si>
  <si>
    <t>LINEMAN TRAINING</t>
  </si>
  <si>
    <t>FEB FY 26 TELEPHONE SERVICES</t>
  </si>
  <si>
    <t>FEB FY 26 TELEPHONE SERVICE 5 MILE BRANCH RD</t>
  </si>
  <si>
    <t>FEB FY 26 VERIZON TELEPHONE SERVICE</t>
  </si>
  <si>
    <t>PFALLER DOT PHYSICAL / LEWIS PREEMPLOYMENT DRUG SCREENING</t>
  </si>
  <si>
    <t>REIMB HEAVY DUTY PADS AND DURCELL BATTERIES</t>
  </si>
  <si>
    <t>THE COASTAL WOMANS BSUINESS SUMMIT</t>
  </si>
  <si>
    <t>JAN FY 26 SLUDGE DISPOSAL</t>
  </si>
  <si>
    <t>ICE SCULPTURE ASSISTANCE ICE ICE BERLIN</t>
  </si>
  <si>
    <t>XERCES SOCIETY</t>
  </si>
  <si>
    <t>2026 BEE CITY RENEWAL</t>
  </si>
  <si>
    <t>ABS INK CARTRIDGE REPLACEMENTS</t>
  </si>
  <si>
    <t>LAWN MOWER BLADES / CHAINS FOR CHAINSAWS</t>
  </si>
  <si>
    <t>VISITOR CENTER ELECTRIC UPGRADES</t>
  </si>
  <si>
    <t>PROJ P.0787283.F.57 PWR PLNT OPER / BERLIN INTERMEDIATE SCHOOL</t>
  </si>
  <si>
    <t>REIMB MILEAGE TO &amp; FROM WOR CO SHERIFF'S OFFICE LIGT TR</t>
  </si>
  <si>
    <t>TOWN VEHICLE GAS / POWER PLANT FUEL PURCHASE</t>
  </si>
  <si>
    <t>MITEL VOICE CONTRACT</t>
  </si>
  <si>
    <t>REIMB DOG FOOD FOR DOCK</t>
  </si>
  <si>
    <t>MAR FY 26 INTERNET &amp; DIGITAL SERVICES</t>
  </si>
  <si>
    <t>DISTRICT COURT FILING FEE REIMB GASKILL</t>
  </si>
  <si>
    <t>MULTIPLE PROJECTS: GEN ON CALL SVCS / ATHENA PLAZA / FUNDING ACQUS / BERLIN SIMPLE FIBER / MULTI PURPOSE BLDG DEMOLITION / POWELLTON AVE WELL / STEPHEN DECATUR COMF STATION / BERL LEAD SVC LINE REPLC</t>
  </si>
  <si>
    <t>FUSES</t>
  </si>
  <si>
    <t>6IN &amp; 8IN BOLT KIT &amp; GASKETS</t>
  </si>
  <si>
    <t>REMOVAL OF LARGE TREE AT SDP</t>
  </si>
  <si>
    <t>CRUSHED CONCRETE</t>
  </si>
  <si>
    <t>REIMB MEALS WORKED SNOWSTORM</t>
  </si>
  <si>
    <t>INSTALLATION OF GUN RACKS IN SIX NEW VEHICLES</t>
  </si>
  <si>
    <t>MAR FY 26 JAMES BOUNDS BOND SPRAY SITE</t>
  </si>
  <si>
    <t>REIMB MEALS WORKED SNOWSTORM / REIMB FUEL FOR VEHICLE #86</t>
  </si>
  <si>
    <t>MML PEA DUES AND REGISTRATION</t>
  </si>
  <si>
    <t>NATIONWIDE EMPLOYEE CONTRIBUTIONS DEFERRED COMP PPE 02/22/2026</t>
  </si>
  <si>
    <t>LEWIS PRE EMPLOYMENT BACKGROUND</t>
  </si>
  <si>
    <t>WWTP OFFICE HVAC ISSUE</t>
  </si>
  <si>
    <t>MD PSC CASE #9508 CASES 100/101</t>
  </si>
  <si>
    <t>MAR FY 26 POSTAGE TOWN WIDE</t>
  </si>
  <si>
    <t>FEB FY 26 JANITORIAL SERVICES</t>
  </si>
  <si>
    <t>REIMB PANTS</t>
  </si>
  <si>
    <t>FEBRUARY STAPLES ORDER</t>
  </si>
  <si>
    <t>REIMB BACKPACK FOR LAPTOP WHEN WORKING REMOTE</t>
  </si>
  <si>
    <t>UNITED WAY EMPLOYEE DONATIONS/CONTRIBUTIONS PPE 02/22/2026</t>
  </si>
  <si>
    <t>RANDOM DRUG TESTING</t>
  </si>
  <si>
    <t>JAN FY 26 REFUSE, RECYCLE, CAN PULLS, AND DEMOLITIONS</t>
  </si>
  <si>
    <t>CENTRAL STATION MONITORING</t>
  </si>
  <si>
    <t>PAPER TOWELS AND CLEANING SUPPLIES / JANITORIAL SUPPLIES</t>
  </si>
  <si>
    <t>SAVAGE SUBSTATION TRANFORMER PROJ 5/16/2026</t>
  </si>
  <si>
    <t>REFUND 5/11 PARK RESERVATION DEPOSIT</t>
  </si>
  <si>
    <t>AT&amp;T MOBILITY TOWN ISSUED DEVICES APRIL 2026</t>
  </si>
  <si>
    <t>BEAR INDUSTRIES</t>
  </si>
  <si>
    <t>QUARTERLY FIRE SPRINKLER INSPECTION</t>
  </si>
  <si>
    <t>BENNETT CONSTRUCTION</t>
  </si>
  <si>
    <t>MULTI-PURPOSE AND HEADSTART BUILDING DEMO PAY #001</t>
  </si>
  <si>
    <t>ASSISTANCE FOR FIREWORKS</t>
  </si>
  <si>
    <t>BRASURE'S PEST CONTROL / QUARTERLY PEST CONTROL</t>
  </si>
  <si>
    <t>MAY FY 26 UTILITY SERVICE FOR SPRAY SITES</t>
  </si>
  <si>
    <t>JUN FY 26 INTERNET &amp; DIGITAL SERVICES / TELEVISION SERVICE POLICE DEPT (APPKT03706)</t>
  </si>
  <si>
    <t>REFUND 5/28 PARK RESERVATION DEPOSIT</t>
  </si>
  <si>
    <t>REPLACEMENT DESKTOP COMPUTERS</t>
  </si>
  <si>
    <t>MULCH PARKS / EWF PLAYGROUND SDO NEW GLIDE</t>
  </si>
  <si>
    <t>PRE EMPLOY DRUG SCREEN DAVIS</t>
  </si>
  <si>
    <t>WCAC GRANT FUNDED FARMERS MARKET MUSIC (JUN 7 &amp; JUN 17)</t>
  </si>
  <si>
    <t>ADMINISTRATION ADVERTISING / BOARD OF APPEALS AD (APPKT03706)</t>
  </si>
  <si>
    <t>RADIATOR REPAIR FUEL INJECTOR A/C PUMP / TRANSMISSION FOR TRUCK 83</t>
  </si>
  <si>
    <t>UNIFORMS</t>
  </si>
  <si>
    <t>FARMERS MARKET MANAGER JUNE 2026</t>
  </si>
  <si>
    <t>ASBESTOS TESTING HEAD START (APPKT03706)</t>
  </si>
  <si>
    <t>TWO 2026 CHEVROLET TAHOE PPV 4WD</t>
  </si>
  <si>
    <t>TRUCK 15 &amp; 82 TIRES</t>
  </si>
  <si>
    <t>INTEGRIS</t>
  </si>
  <si>
    <t>ACROBAT PRO FOR TEAMS SUBSCRIPTION</t>
  </si>
  <si>
    <t>SHIRTS, PANTS AND SHOES</t>
  </si>
  <si>
    <t>KELLER BROTHERS</t>
  </si>
  <si>
    <t>TOWN HALL RENOVATIONS CONSTRUCTION CONTRACT</t>
  </si>
  <si>
    <t>LOGO FOR EMBROIDERY 2 ITEMS</t>
  </si>
  <si>
    <t>LIGHTSABER PROMOTIONS</t>
  </si>
  <si>
    <t>CUSTOM 4X2 VELCRO PATCHES</t>
  </si>
  <si>
    <t>MAILMOVERS OUTSOURCED UTILITY BILLS (APPKT03706)</t>
  </si>
  <si>
    <t>METRO RECREATION</t>
  </si>
  <si>
    <t>ALL REC ZIP LINE PLAYGROUND EQUIP SDP</t>
  </si>
  <si>
    <t>NATIONWIDE EMPLOYEE CONTRIBUTIONS DEFFERED COMP PPE 05/31/2026</t>
  </si>
  <si>
    <t>CHIEF PRINTER AND OFFICE SUPPLIES</t>
  </si>
  <si>
    <t>REPLACE TRANSMISSION 6744 (APPKT03706)</t>
  </si>
  <si>
    <t>OFFICES SUPPLIES</t>
  </si>
  <si>
    <t>SAVAGE SUBSTATION 2ND TRANSFORMER TESTING &amp; SVC</t>
  </si>
  <si>
    <t>UNIFORM SERVICES FOR ALL CREWS (APPKT03706)</t>
  </si>
  <si>
    <t>MAY FY 26 VERIZON TELEPHONE SERVICE</t>
  </si>
  <si>
    <t>ANNUAL MEMBERSHIP</t>
  </si>
  <si>
    <t>WCAC GRAND FUNDED FARMERS MARKET MUSIC</t>
  </si>
  <si>
    <t>REFUND PARK RESERVATION REFUND</t>
  </si>
  <si>
    <t>REIMB COURT FILING FEES FOR MD PSC</t>
  </si>
  <si>
    <t>PROJ 64371-01-00-LS TWN OF BERL FLOOD MITIGATION P (APPKT03710)</t>
  </si>
  <si>
    <t>JANITORIAL SERVICES POLICE DEPT MAY FY 26</t>
  </si>
  <si>
    <t>SHIRTS FOR TROY MCDORMAN</t>
  </si>
  <si>
    <t>YHN-450 CRIMPS STD PACK 50</t>
  </si>
  <si>
    <t>REFUND 6/8 PARK RESERVATION DEPOSIT</t>
  </si>
  <si>
    <t>BERLIN MISC ENGINEERING / RATE SVCS PWR PLT OPER REG C / RATE CASE</t>
  </si>
  <si>
    <t>346W LIFT STATION GENERATOR / POWER PLANT G3520 CVA MAINTENANCE CONTRACT</t>
  </si>
  <si>
    <t>JUN FY 26 DOWNTOWN WIFI (APPKT03714)</t>
  </si>
  <si>
    <t>HUDSON BRANCH STREAM RESTORATION / WWTP PFAS EFFLUENT MONITORING PLAN (APPKT03714)</t>
  </si>
  <si>
    <t>DRINKING WATER &amp; COOLER RENTAL FEES / DISTILLED WATER</t>
  </si>
  <si>
    <t>BLADDER TANK / PARTS FOR SLUDGE PUMP / 6" BOLT KITS</t>
  </si>
  <si>
    <t>CCR REPORT (APPKT03714)</t>
  </si>
  <si>
    <t>FLOWER ST PATCH PAVING</t>
  </si>
  <si>
    <t>BERLIN TOWN HALL RENOVATION</t>
  </si>
  <si>
    <t>ASBESTOS BULK SAMPLING TOWN HALL (APPKT03714)</t>
  </si>
  <si>
    <t>CHLORINE / SODIUM HYPOCHLORITE WELL HOUSES</t>
  </si>
  <si>
    <t>WWTP SBR VALVE</t>
  </si>
  <si>
    <t>TOOLS, PARTS AND OTHER SUPPLIES MAY FY 26</t>
  </si>
  <si>
    <t>TOWN ADMIN. VEHICLE CHARGING SYSTEM</t>
  </si>
  <si>
    <t>REIMB LOGO APPAREL</t>
  </si>
  <si>
    <t>MAILMOVERS OUTSOURCED UTILITY BILLS (APPKT03714)</t>
  </si>
  <si>
    <t>J.MOCK W5A TEMPORARY LICENSE / J.CAMPBELL TEMPORARY LICENSE / J.CAMPBELL EXAM FOR LICENSE</t>
  </si>
  <si>
    <t>PARTS FOR WWTP</t>
  </si>
  <si>
    <t>PARTS FOR VEHICLE REPAIRS / TWO BATTERIES 6744</t>
  </si>
  <si>
    <t>PRE EMPLOYMENT BACKGROUND MCDORMAN</t>
  </si>
  <si>
    <t>ANNUAL BIKE PATH RESERVATION FEE 5/1/26-4/30/27</t>
  </si>
  <si>
    <t>TWO TIRES AND MOUNT BALANCE 6744 (APPKT03714)</t>
  </si>
  <si>
    <t>DIESEL FUEL - BRANCH ST GENERATOR</t>
  </si>
  <si>
    <t>SHARE</t>
  </si>
  <si>
    <t>VEHICLE WASH AND DETAIL</t>
  </si>
  <si>
    <t>CHECKED CALIBRATION AT LAGOONS</t>
  </si>
  <si>
    <t>MEDICAL SUPPLY CABINET (APPKT03714)</t>
  </si>
  <si>
    <t>FOG CONTROL</t>
  </si>
  <si>
    <t>MAY FY 26 REFUSE RECYCLE CAN PULLS AND DEMOLITIONS / MAY FY 26 SLUDGE DISPOSAL</t>
  </si>
  <si>
    <t>Payee</t>
  </si>
  <si>
    <t>Check #</t>
  </si>
  <si>
    <t>DITTERT, ROBERT</t>
  </si>
  <si>
    <t>28090</t>
  </si>
  <si>
    <t>PORTILLO, BERNABE</t>
  </si>
  <si>
    <t>28089</t>
  </si>
  <si>
    <t>REYNOLDS, ALAN</t>
  </si>
  <si>
    <t>28088</t>
  </si>
  <si>
    <t>RIEHL, SOPHIA</t>
  </si>
  <si>
    <t>28087</t>
  </si>
  <si>
    <t>HUDSON, JAMES</t>
  </si>
  <si>
    <t>28085</t>
  </si>
  <si>
    <t>INC, HORTON</t>
  </si>
  <si>
    <t>28086</t>
  </si>
  <si>
    <t>SHORE UP-REFUNDS</t>
  </si>
  <si>
    <t>28158</t>
  </si>
  <si>
    <t>28157</t>
  </si>
  <si>
    <t>JOSEPH, CHERY</t>
  </si>
  <si>
    <t>28204</t>
  </si>
  <si>
    <t>POP, EUGENIO</t>
  </si>
  <si>
    <t>28203</t>
  </si>
  <si>
    <t>ROBERTSON, CHRISTIAN</t>
  </si>
  <si>
    <t>28314</t>
  </si>
  <si>
    <t>GLAUB, JOSHUA</t>
  </si>
  <si>
    <t>28422</t>
  </si>
  <si>
    <t>28423</t>
  </si>
  <si>
    <t>PECK, RACHEL</t>
  </si>
  <si>
    <t>28426</t>
  </si>
  <si>
    <t>BRITTINGHAM, SAMANTHA</t>
  </si>
  <si>
    <t>28425</t>
  </si>
  <si>
    <t>MCCLINCY, BETH</t>
  </si>
  <si>
    <t>28424</t>
  </si>
  <si>
    <t>28427</t>
  </si>
  <si>
    <t>28460</t>
  </si>
  <si>
    <t>28577</t>
  </si>
  <si>
    <t>GRINDROD, JACQUELINE</t>
  </si>
  <si>
    <t>28654</t>
  </si>
  <si>
    <t>CLIFTON, DONALD</t>
  </si>
  <si>
    <t>28655</t>
  </si>
  <si>
    <t>FITZGERALD, ROGER</t>
  </si>
  <si>
    <t>28656</t>
  </si>
  <si>
    <t>AMOS, MICHAEL &amp; DANELLE</t>
  </si>
  <si>
    <t>28657</t>
  </si>
  <si>
    <t>STRAMA, JOHN</t>
  </si>
  <si>
    <t>28658</t>
  </si>
  <si>
    <t>BUNTING, NORMAN JR</t>
  </si>
  <si>
    <t>28659</t>
  </si>
  <si>
    <t>THE DISPATCH</t>
  </si>
  <si>
    <t>28660</t>
  </si>
  <si>
    <t>ACE PRINTING</t>
  </si>
  <si>
    <t>28661</t>
  </si>
  <si>
    <t>28662</t>
  </si>
  <si>
    <t>28663</t>
  </si>
  <si>
    <t>FOX, ROBYN</t>
  </si>
  <si>
    <t>28707</t>
  </si>
  <si>
    <t>HIGDON, JANET</t>
  </si>
  <si>
    <t>28740</t>
  </si>
  <si>
    <t>PHILLIPS, CHARLOTTE</t>
  </si>
  <si>
    <t>28739</t>
  </si>
  <si>
    <t>DOLLE, ANDREW &amp; ANDREA</t>
  </si>
  <si>
    <t>28741</t>
  </si>
  <si>
    <t>BROWN, CHRISTINE LYNN</t>
  </si>
  <si>
    <t>28742</t>
  </si>
  <si>
    <t>PATRICK, PETER</t>
  </si>
  <si>
    <t>28743</t>
  </si>
  <si>
    <t>STRANGE, MICHAEL JR</t>
  </si>
  <si>
    <t>28744</t>
  </si>
  <si>
    <t>RUSSELL, ROBERT</t>
  </si>
  <si>
    <t>28745</t>
  </si>
  <si>
    <t>LUCIO, JOHN</t>
  </si>
  <si>
    <t>28746</t>
  </si>
  <si>
    <t>FIELDS, BERNICE</t>
  </si>
  <si>
    <t>28844</t>
  </si>
  <si>
    <t>28845</t>
  </si>
  <si>
    <t>MAZARIEGOS, MELVIN</t>
  </si>
  <si>
    <t>29148</t>
  </si>
  <si>
    <t>WALLACE, RYAN</t>
  </si>
  <si>
    <t>29149</t>
  </si>
  <si>
    <t>ECKERT, SAMUEL</t>
  </si>
  <si>
    <t>29263</t>
  </si>
  <si>
    <t>COSBY, B PETER</t>
  </si>
  <si>
    <t>29620</t>
  </si>
  <si>
    <t>LLC, ZENNA DREAMING</t>
  </si>
  <si>
    <t>29621</t>
  </si>
  <si>
    <t>29622</t>
  </si>
  <si>
    <t>BALSOMA, ANTHONY</t>
  </si>
  <si>
    <t>29623</t>
  </si>
  <si>
    <t>BRIDDELL, TROVONNA</t>
  </si>
  <si>
    <t>29624</t>
  </si>
  <si>
    <t>SUTTKA, CLAIRE</t>
  </si>
  <si>
    <t>29625</t>
  </si>
  <si>
    <t>BURRIS, MICHAEL</t>
  </si>
  <si>
    <t>29626</t>
  </si>
  <si>
    <t>MCCABE, KAYLA HARANT &amp; JOHN</t>
  </si>
  <si>
    <t>29627</t>
  </si>
  <si>
    <t>PURNELL CROSSING HOA</t>
  </si>
  <si>
    <t>29747</t>
  </si>
  <si>
    <t>PURNELL CROSSING H O A</t>
  </si>
  <si>
    <t>29748</t>
  </si>
  <si>
    <t>STEWART DONALD</t>
  </si>
  <si>
    <t>29751</t>
  </si>
  <si>
    <t>DIAZ, GROLVIN PAREDES</t>
  </si>
  <si>
    <t>29855</t>
  </si>
  <si>
    <t>ELLIS, CHAD</t>
  </si>
  <si>
    <t>29971</t>
  </si>
  <si>
    <t>KEE, PAM AND MATT</t>
  </si>
  <si>
    <t>30015</t>
  </si>
  <si>
    <t>TASTE-DS' LLC</t>
  </si>
  <si>
    <t>30091</t>
  </si>
  <si>
    <t>LITTELL, PATTI</t>
  </si>
  <si>
    <t>30092</t>
  </si>
  <si>
    <t>PURNELL, DONTE</t>
  </si>
  <si>
    <t>30093</t>
  </si>
  <si>
    <t>30269</t>
  </si>
  <si>
    <t>30271</t>
  </si>
  <si>
    <t>DUFFY, KIMBERLY</t>
  </si>
  <si>
    <t>30270</t>
  </si>
  <si>
    <t>BILENKI, ADAM</t>
  </si>
  <si>
    <t>30343</t>
  </si>
  <si>
    <t>C.F.D</t>
  </si>
  <si>
    <t>30348</t>
  </si>
  <si>
    <t>MITCHELL, STACEY</t>
  </si>
  <si>
    <t>30347</t>
  </si>
  <si>
    <t>30392</t>
  </si>
  <si>
    <t>COSMAN, HAYDEN</t>
  </si>
  <si>
    <t>30393</t>
  </si>
  <si>
    <t>BRAUN, NICHOLAS</t>
  </si>
  <si>
    <t>30537</t>
  </si>
  <si>
    <t>NOONAN, SHEA</t>
  </si>
  <si>
    <t>30536</t>
  </si>
  <si>
    <t>BUDA, CHRISTOPHER</t>
  </si>
  <si>
    <t>30538</t>
  </si>
  <si>
    <t>30539</t>
  </si>
  <si>
    <t>LEWIS, CORINNE</t>
  </si>
  <si>
    <t>31107</t>
  </si>
  <si>
    <t>WILLIAMS, MELISSA</t>
  </si>
  <si>
    <t>31106</t>
  </si>
  <si>
    <t>Cardholder / Account</t>
  </si>
  <si>
    <t>New Balance</t>
  </si>
  <si>
    <t>BANK OF OCEAN CITY (account XXXX XXXX XXXX - unidentified)</t>
  </si>
  <si>
    <t>TIM LAWRENCE (BANK OF OCEAN CITY account XXXX XXXX XXXX 0389)</t>
  </si>
  <si>
    <t>BANK OF OCEAN CITY (XXXX XXXX XXXX, Credit Limit $5,000)</t>
  </si>
  <si>
    <t>BANK OF OCEAN CITY (XXXX XXXX XXXX, Credit Limit $1,500, card 2)</t>
  </si>
  <si>
    <t>BANK OF OCEAN CITY (XXXX XXXX XXXX, Credit Limit $1,500, card 3)</t>
  </si>
  <si>
    <t>BANK OF OCEAN CITY (XXXX XXXX XXXX, Credit Limit $1,500, card 4)</t>
  </si>
  <si>
    <t>BANK OF OCEAN CITY (XXXX XXXX XXXX, Credit Limit $5,000, card 5)</t>
  </si>
  <si>
    <t>BANK OF OCEAN CITY (XXXX XXXX XXXX, Credit Limit $5,000, card 6)</t>
  </si>
  <si>
    <t>BANK OF OCEAN CITY (XXXX XXXX XXXX, Credit Limit $5,000, card 7)</t>
  </si>
  <si>
    <t>BANK OF OCEAN CITY (XXXX XXXX XXXX, Credit Limit $1,500, card 8 - has fees)</t>
  </si>
  <si>
    <t>BANK OF OCEAN CITY (XXXX XXXX XXXX, Credit Limit $5,000, card 9)</t>
  </si>
  <si>
    <t>BANK OF OCEAN CITY (XXXX XXXX XXXX, Credit Limit $10,000, card 10)</t>
  </si>
  <si>
    <t>BANK OF OCEAN CITY (XXXX XXXX XXXX, Credit Limit $1,500, card 11)</t>
  </si>
  <si>
    <t>BANK OF OCEAN CITY (XXXX XXXX XXXX, Credit Limit $1,500, card 12)</t>
  </si>
  <si>
    <t>BANK OF OCEAN CITY (XXXX XXXX XXXX, Credit Limit $5,000, card 13)</t>
  </si>
  <si>
    <t>BANK OF OCEAN CITY - Card 1 (XXXX XXXX XXXX)</t>
  </si>
  <si>
    <t>BANK OF OCEAN CITY - Card 2 (XXXX XXXX XXXX)</t>
  </si>
  <si>
    <t>BANK OF OCEAN CITY - Card 3 (XXXX XXXX XXXX)</t>
  </si>
  <si>
    <t>BANK OF OCEAN CITY - Card 4 (XXXX XXXX XXXX)</t>
  </si>
  <si>
    <t>BANK OF OCEAN CITY - Card 5 (XXXX XXXX XXXX)</t>
  </si>
  <si>
    <t>BANK OF OCEAN CITY - Card 6 (XXXX XXXX XXXX)</t>
  </si>
  <si>
    <t>BANK OF OCEAN CITY - Card 7 (XXXX XXXX XXXX)</t>
  </si>
  <si>
    <t>BANK OF OCEAN CITY - Card 8 (XXXX XXXX XXXX)</t>
  </si>
  <si>
    <t>BANK OF OCEAN CITY - Card 9 (XXXX XXXX XXXX)</t>
  </si>
  <si>
    <t>BANK OF OCEAN CITY - Card 10 (XXXX XXXX XXXX)</t>
  </si>
  <si>
    <t>BANK OF OCEAN CITY - Card 11 (XXXX XXXX XXXX)</t>
  </si>
  <si>
    <t>BANK OF OCEAN CITY - Card 12 (XXXX XXXX XXXX)</t>
  </si>
  <si>
    <t>BANK OF OCEAN CITY - Card 13 (XXXX XXXX XXXX)</t>
  </si>
  <si>
    <t>BANK OF OCEAN CITY (XXXX XXXX XXXX - CC1)</t>
  </si>
  <si>
    <t>BANK OF OCEAN CITY (XXXX XXXX XXXX - CC2)</t>
  </si>
  <si>
    <t>BANK OF OCEAN CITY (XXXX XXXX XXXX - CC3)</t>
  </si>
  <si>
    <t>BANK OF OCEAN CITY (XXXX XXXX XXXX - CC4)</t>
  </si>
  <si>
    <t>BANK OF OCEAN CITY (XXXX XXXX XXXX - CC5)</t>
  </si>
  <si>
    <t>BANK OF OCEAN CITY (XXXX XXXX XXXX - CC6)</t>
  </si>
  <si>
    <t>BANK OF OCEAN CITY (XXXX XXXX XXXX - CC7)</t>
  </si>
  <si>
    <t>BANK OF OCEAN CITY (XXXX XXXX XXXX - CC8)</t>
  </si>
  <si>
    <t>BANK OF OCEAN CITY (XXXX XXXX XXXX - CC9)</t>
  </si>
  <si>
    <t>BANK OF OCEAN CITY (XXXX XXXX XXXX - CC10)</t>
  </si>
  <si>
    <t>BANK OF OCEAN CITY (XXXX XXXX XXXX - CC11)</t>
  </si>
  <si>
    <t>BANK OF OCEAN CITY (XXXX XXXX XXXX - CC12)</t>
  </si>
  <si>
    <t>BANK OF OCEAN CITY - Card 1 (XXXX)</t>
  </si>
  <si>
    <t>BANK OF OCEAN CITY - Card 2 (XXXX)</t>
  </si>
  <si>
    <t>BANK OF OCEAN CITY - Card 3 (XXXX)</t>
  </si>
  <si>
    <t>BANK OF OCEAN CITY - Card 4 (XXXX)</t>
  </si>
  <si>
    <t>BANK OF OCEAN CITY - Card 5 (XXXX)</t>
  </si>
  <si>
    <t>BANK OF OCEAN CITY - Card 6 (XXXX)</t>
  </si>
  <si>
    <t>BANK OF OCEAN CITY - Card 7 (XXXX)</t>
  </si>
  <si>
    <t>BANK OF OCEAN CITY - XXXX XXXX XXXX (acct 1)</t>
  </si>
  <si>
    <t>BANK OF OCEAN CITY - XXXX XXXX XXXX (acct 2)</t>
  </si>
  <si>
    <t>BANK OF OCEAN CITY - XXXX XXXX XXXX 0117</t>
  </si>
  <si>
    <t>BANK OF OCEAN CITY - XXXX XXXX XXXX (acct 4)</t>
  </si>
  <si>
    <t>BANK OF OCEAN CITY - XXXX XXXX XXXX (acct 5)</t>
  </si>
  <si>
    <t>BANK OF OCEAN CITY - XXXX XXXX XXXX 0926</t>
  </si>
  <si>
    <t>BANK OF OCEAN CITY - XXXX XXXX XXXX (acct 7)</t>
  </si>
  <si>
    <t>BANK OF OCEAN CITY - XXXX XXXX XXXX (acct 8)</t>
  </si>
  <si>
    <t>BANK OF OCEAN CITY - XXXX XXXX XXXX 0413</t>
  </si>
  <si>
    <t>BANK OF OCEAN CITY - XXXX XXXX XXXX 0710</t>
  </si>
  <si>
    <t>BANK OF OCEAN CITY - XXXX XXXX XXXX (acct 11)</t>
  </si>
  <si>
    <t>BANK OF OCEAN CITY - XXXX XXXX XXXX (acct 12)</t>
  </si>
  <si>
    <t>BANK OF OCEAN CITY - XXXX XXXX XXXX (acct 13)</t>
  </si>
  <si>
    <t>BANK OF OCEAN CITY - XXXX XXXX XXXX 0488</t>
  </si>
  <si>
    <t>BANK OF OCEAN CITY - XXXX XXXX XXXX 0470</t>
  </si>
  <si>
    <t>BANK OF OCEAN CITY - XXXX XXXX XXXX (acct 16)</t>
  </si>
  <si>
    <t>ARNOLD DOWNING</t>
  </si>
  <si>
    <t>AUGUST WIENHOLD</t>
  </si>
  <si>
    <t>CODY CHESSER</t>
  </si>
  <si>
    <t>DAVID BASSETT</t>
  </si>
  <si>
    <t>IVY WELLS</t>
  </si>
  <si>
    <t>JAMES LATCHUM</t>
  </si>
  <si>
    <t>JAMES J CHARLES</t>
  </si>
  <si>
    <t>KATE DAUB</t>
  </si>
  <si>
    <t>LAURA BROWN</t>
  </si>
  <si>
    <t>MARY BOHLEN</t>
  </si>
  <si>
    <t>MEGHAN PFALLER</t>
  </si>
  <si>
    <t>BANK OF OCEAN CITY - Account XXXX XXXX XXXX (1)</t>
  </si>
  <si>
    <t>BANK OF OCEAN CITY - Account XXXX XXXX XXXX (2)</t>
  </si>
  <si>
    <t>BANK OF OCEAN CITY - Account XXXX XXXX XXXX (3)</t>
  </si>
  <si>
    <t>BANK OF OCEAN CITY - Account XXXX XXXX XXXX (4)</t>
  </si>
  <si>
    <t>BANK OF OCEAN CITY - Account XXXX XXXX XXXX (5)</t>
  </si>
  <si>
    <t>BANK OF OCEAN CITY - Account XXXX XXXX XXXX (6)</t>
  </si>
  <si>
    <t>BANK OF OCEAN CITY - Account XXXX XXXX XXXX (7)</t>
  </si>
  <si>
    <t>BANK OF OCEAN CITY - Account XXXX XXXX XXXX (8)</t>
  </si>
  <si>
    <t>BANK OF OCEAN CITY - Account XXXX XXXX XXXX (9)</t>
  </si>
  <si>
    <t>BANK OF OCEAN CITY - Account XXXX XXXX XXXX (10)</t>
  </si>
  <si>
    <t>BANK OF OCEAN CITY - Account XXXX XXXX XXXX (11)</t>
  </si>
  <si>
    <t>BANK OF OCEAN CITY - Account XXXX XXXX XXXX (12)</t>
  </si>
  <si>
    <t>BANK OF OCEAN CITY - Account XXXX XXXX XXXX (13)</t>
  </si>
  <si>
    <t>BANK OF OCEAN CITY - Account XXXX XXXX XXXX (14)</t>
  </si>
  <si>
    <t>BANK OF OCEAN CITY - Account XXXX XXXX XXXX (15)</t>
  </si>
  <si>
    <t>BANK OF OCEAN CITY - Account XXXX XXXX XXXX (16)</t>
  </si>
  <si>
    <t>BANK OF OCEAN CITY - Account XXXX XXXX XXXX (17)</t>
  </si>
  <si>
    <t>BANK OF OCEAN CITY - acct ending xxxx (Dec 10 2025 stmt)</t>
  </si>
  <si>
    <t>BANK OF OCEAN CITY - acct ending xxxx (Jan 9 2026 stmt - ACCOUNT CLOSED)</t>
  </si>
  <si>
    <t>BANK OF OCEAN CITY - AUGUST WIENHOLD acct ending 0117 (Jan 9 2026 stmt)</t>
  </si>
  <si>
    <t>BANK OF OCEAN CITY - acct ending xxxx (Jan 9 2026 stmt)</t>
  </si>
  <si>
    <t>BANK OF OCEAN CITY - acct ending xxxx acct ending 0900 (Jan 9 2026 stmt)</t>
  </si>
  <si>
    <t>BANK OF OCEAN CITY - acct ending xxxx (Jan 9 2026 stmt - NEW ACCOUNT)</t>
  </si>
  <si>
    <t>DAVE EVANS</t>
  </si>
  <si>
    <t>SARA GORFINKEL</t>
  </si>
  <si>
    <t>JAMES CHARLES</t>
  </si>
  <si>
    <t>ROBERT CLARK</t>
  </si>
  <si>
    <t>ROBERT FISHER</t>
  </si>
  <si>
    <t>JAMEY LATCHUM</t>
  </si>
  <si>
    <t>TIM LAWRENCE</t>
  </si>
  <si>
    <t>RYAN HARDESTY</t>
  </si>
  <si>
    <t>BANK OF OCEAN CITY - Card 1 (XXXX XXXX XXXX) Statement Closing 05/10/2026</t>
  </si>
  <si>
    <t>BANK OF OCEAN CITY - Card 2 (XXXX XXXX XXXX) Statement Closing 05/10/2026</t>
  </si>
  <si>
    <t>BANK OF OCEAN CITY - Card 3 (XXXX XXXX XXXX) Statement Closing 05/10/2026</t>
  </si>
  <si>
    <t>BANK OF OCEAN CITY - Card 4 (XXXX XXXX XXXX) Statement Closing 05/10/2026</t>
  </si>
  <si>
    <t>BANK OF OCEAN CITY - Card 5 (XXXX XXXX XXXX) Statement Closing 05/10/2026</t>
  </si>
  <si>
    <t>BANK OF OCEAN CITY - Card 6 (XXXX XXXX XXXX) Credit Limit $5000 Statement Closing 05/10/2026</t>
  </si>
  <si>
    <t>BANK OF OCEAN CITY - Card 7 (XXXX XXXX XXXX) Credit Limit $5000 Statement Closing 05/10/2026</t>
  </si>
  <si>
    <t>BANK OF OCEAN CITY - Card 8 (XXXX XXXX XXXX) Credit Limit $5000 Statement Closing 05/10/2026</t>
  </si>
  <si>
    <t>BANK OF OCEAN CITY - Card 9 (XXXX XXXX XXXX) Credit Limit $1500 Statement Closing 05/10/2026</t>
  </si>
  <si>
    <t>BANK OF OCEAN CITY - Card 10 (XXXX XXXX XXXX) Credit Limit $5000 Statement Closing 05/10/2026</t>
  </si>
  <si>
    <t>BANK OF OCEAN CITY - Card 11 (XXXX XXXX XXXX) Credit Limit $1500 Statement Closing 05/10/2026</t>
  </si>
  <si>
    <t>BANK OF OCEAN CITY - Card 12 (XXXX XXXX XXXX) Credit Limit $10000 Statement Closing 05/10/2026</t>
  </si>
  <si>
    <t>BANK OF OCEAN CITY - Card 13 (XXXX XXXX XXXX) Credit Limit $5000 Statement Closing 05/10/2026</t>
  </si>
  <si>
    <t>BANK OF OCEAN CITY - Card 14 (XXXX XXXX XXXX) Credit Limit $1500 Statement Closing 05/10/2026</t>
  </si>
  <si>
    <t>BANK OF OCEAN CITY - Card 15 (XXXX XXXX XXXX) Credit Limit $5000 Statement Closing 05/10/2026</t>
  </si>
  <si>
    <t>TOTAL (memo only - NOT in grand 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</si>
</sst>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;&quot;($&quot;#,##0\);\-"/>
    <numFmt numFmtId="165" formatCode="0.0%"/>
    <numFmt numFmtId="166" formatCode="\$#,##0.00;&quot;($&quot;#,##0.00\);\-"/>
  </numFmts>
  <fonts count="16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1.0"/>
      <color rgb="FF555555"/>
      <name val="Arial"/>
    </font>
    <font>
      <sz val="9.0"/>
      <color rgb="FF888888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13.0"/>
      <color rgb="FF1F3864"/>
      <name val="Arial"/>
    </font>
    <font>
      <b/>
      <sz val="12.0"/>
      <color rgb="FF1F3864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b/>
      <sz val="11.0"/>
      <color theme="1"/>
      <name val="Arial"/>
    </font>
    <font>
      <b/>
      <sz val="10.0"/>
      <color rgb="FF1F3864"/>
      <name val="Arial"/>
    </font>
    <font>
      <sz val="10.0"/>
      <color rgb="FF333333"/>
      <name val="Arial"/>
    </font>
    <font>
      <b/>
      <sz val="11.0"/>
      <color rgb="FFFFFFFF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5496"/>
        <bgColor rgb="FF2E5496"/>
      </patternFill>
    </fill>
    <fill>
      <patternFill patternType="solid">
        <fgColor rgb="FFD6E0F0"/>
        <bgColor rgb="FFD6E0F0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3" fontId="6" numFmtId="164" xfId="0" applyAlignment="1" applyBorder="1" applyFill="1" applyFont="1" applyNumberFormat="1">
      <alignment horizontal="center"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3" fontId="6" numFmtId="49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164" xfId="0" applyAlignment="1" applyBorder="1" applyFont="1" applyNumberFormat="1">
      <alignment shrinkToFit="0" vertical="bottom" wrapText="0"/>
    </xf>
    <xf borderId="1" fillId="4" fontId="5" numFmtId="165" xfId="0" applyAlignment="1" applyBorder="1" applyFont="1" applyNumberFormat="1">
      <alignment shrinkToFit="0" vertical="bottom" wrapText="0"/>
    </xf>
    <xf borderId="1" fillId="4" fontId="10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4" fontId="5" numFmtId="166" xfId="0" applyAlignment="1" applyBorder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1" fillId="5" fontId="14" numFmtId="0" xfId="0" applyAlignment="1" applyBorder="1" applyFill="1" applyFont="1">
      <alignment shrinkToFit="0" vertical="bottom" wrapText="0"/>
    </xf>
    <xf borderId="1" fillId="5" fontId="14" numFmtId="166" xfId="0" applyAlignment="1" applyBorder="1" applyFont="1" applyNumberFormat="1">
      <alignment shrinkToFit="0" vertical="bottom" wrapText="0"/>
    </xf>
    <xf borderId="1" fillId="5" fontId="14" numFmtId="165" xfId="0" applyAlignment="1" applyBorder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4" width="14.0"/>
    <col customWidth="1" min="5" max="5" width="34.0"/>
    <col customWidth="1" min="6" max="6" width="14.0"/>
    <col customWidth="1" min="7" max="7" width="9.0"/>
    <col customWidth="1" min="8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4" t="s">
        <v>4</v>
      </c>
      <c r="D5" s="5"/>
      <c r="E5" s="4" t="s">
        <v>5</v>
      </c>
      <c r="F5" s="5"/>
      <c r="G5" s="4" t="s">
        <v>6</v>
      </c>
      <c r="H5" s="5"/>
    </row>
    <row r="6">
      <c r="A6" s="6">
        <f>'By Meeting'!B23</f>
        <v>11638443.83</v>
      </c>
      <c r="B6" s="7"/>
      <c r="C6" s="6">
        <f>'By Meeting'!D23</f>
        <v>28550.47</v>
      </c>
      <c r="D6" s="7"/>
      <c r="E6" s="6">
        <f>'By Meeting'!E23</f>
        <v>11666994.3</v>
      </c>
      <c r="F6" s="7"/>
      <c r="G6" s="8" t="str">
        <f>COUNTA('By Vendor'!A2:A446)&amp;" / "&amp;'By Meeting'!C23</f>
        <v>445 / 1811</v>
      </c>
      <c r="H6" s="7"/>
    </row>
    <row r="9">
      <c r="A9" s="9" t="s">
        <v>7</v>
      </c>
      <c r="E9" s="9" t="s">
        <v>8</v>
      </c>
    </row>
    <row r="10">
      <c r="A10" s="10" t="s">
        <v>9</v>
      </c>
      <c r="B10" s="10" t="s">
        <v>10</v>
      </c>
      <c r="C10" s="10" t="s">
        <v>11</v>
      </c>
      <c r="D10" s="10"/>
      <c r="E10" s="10" t="s">
        <v>12</v>
      </c>
      <c r="F10" s="10" t="s">
        <v>10</v>
      </c>
      <c r="G10" s="10" t="s">
        <v>13</v>
      </c>
    </row>
    <row r="11">
      <c r="A11" s="11" t="s">
        <v>14</v>
      </c>
      <c r="B11" s="12">
        <f>'By Category'!B2</f>
        <v>2373254.14</v>
      </c>
      <c r="C11" s="13">
        <f>'By Category'!D2</f>
        <v>0.2039150744</v>
      </c>
      <c r="E11" s="14" t="s">
        <v>15</v>
      </c>
      <c r="F11" s="12">
        <f>'By Vendor'!C2</f>
        <v>711670.11</v>
      </c>
      <c r="G11" s="15">
        <f>'By Vendor'!D2</f>
        <v>8</v>
      </c>
    </row>
    <row r="12">
      <c r="A12" s="16" t="s">
        <v>16</v>
      </c>
      <c r="B12" s="17">
        <f>'By Category'!B3</f>
        <v>2045940.49</v>
      </c>
      <c r="C12" s="18">
        <f>'By Category'!D3</f>
        <v>0.1757915852</v>
      </c>
      <c r="E12" s="19" t="s">
        <v>17</v>
      </c>
      <c r="F12" s="17">
        <f>'By Vendor'!C3</f>
        <v>632266.99</v>
      </c>
      <c r="G12" s="20">
        <f>'By Vendor'!D3</f>
        <v>7</v>
      </c>
    </row>
    <row r="13">
      <c r="A13" s="11" t="s">
        <v>18</v>
      </c>
      <c r="B13" s="12">
        <f>'By Category'!B4</f>
        <v>1952538.21</v>
      </c>
      <c r="C13" s="13">
        <f>'By Category'!D4</f>
        <v>0.1677662614</v>
      </c>
      <c r="E13" s="14" t="s">
        <v>19</v>
      </c>
      <c r="F13" s="12">
        <f>'By Vendor'!C4</f>
        <v>620063.52</v>
      </c>
      <c r="G13" s="15">
        <f>'By Vendor'!D4</f>
        <v>6</v>
      </c>
    </row>
    <row r="14">
      <c r="A14" s="16" t="s">
        <v>20</v>
      </c>
      <c r="B14" s="17">
        <f>'By Category'!B5</f>
        <v>1113691.35</v>
      </c>
      <c r="C14" s="18">
        <f>'By Category'!D5</f>
        <v>0.09569074408</v>
      </c>
      <c r="E14" s="19" t="s">
        <v>21</v>
      </c>
      <c r="F14" s="17">
        <f>'By Vendor'!C5</f>
        <v>571604.82</v>
      </c>
      <c r="G14" s="20">
        <f>'By Vendor'!D5</f>
        <v>6</v>
      </c>
    </row>
    <row r="15">
      <c r="A15" s="11" t="s">
        <v>22</v>
      </c>
      <c r="B15" s="12">
        <f>'By Category'!B6</f>
        <v>1041950.95</v>
      </c>
      <c r="C15" s="13">
        <f>'By Category'!D6</f>
        <v>0.08952665539</v>
      </c>
      <c r="E15" s="14" t="s">
        <v>23</v>
      </c>
      <c r="F15" s="12">
        <f>'By Vendor'!C6</f>
        <v>499000</v>
      </c>
      <c r="G15" s="15">
        <f>'By Vendor'!D6</f>
        <v>1</v>
      </c>
    </row>
    <row r="16">
      <c r="A16" s="16" t="s">
        <v>24</v>
      </c>
      <c r="B16" s="17">
        <f>'By Category'!B7</f>
        <v>938738.19</v>
      </c>
      <c r="C16" s="18">
        <f>'By Category'!D7</f>
        <v>0.08065839417</v>
      </c>
      <c r="E16" s="19" t="s">
        <v>25</v>
      </c>
      <c r="F16" s="17">
        <f>'By Vendor'!C7</f>
        <v>441931</v>
      </c>
      <c r="G16" s="20">
        <f>'By Vendor'!D7</f>
        <v>4</v>
      </c>
    </row>
    <row r="17">
      <c r="A17" s="11" t="s">
        <v>26</v>
      </c>
      <c r="B17" s="12">
        <f>'By Category'!B8</f>
        <v>890926.07</v>
      </c>
      <c r="C17" s="13">
        <f>'By Category'!D8</f>
        <v>0.07655027451</v>
      </c>
      <c r="E17" s="14" t="s">
        <v>27</v>
      </c>
      <c r="F17" s="12">
        <f>'By Vendor'!C8</f>
        <v>430775.24</v>
      </c>
      <c r="G17" s="15">
        <f>'By Vendor'!D8</f>
        <v>5</v>
      </c>
    </row>
    <row r="18">
      <c r="A18" s="16" t="s">
        <v>28</v>
      </c>
      <c r="B18" s="17">
        <f>'By Category'!B9</f>
        <v>360773.18</v>
      </c>
      <c r="C18" s="18">
        <f>'By Category'!D9</f>
        <v>0.03099840368</v>
      </c>
      <c r="E18" s="19" t="s">
        <v>29</v>
      </c>
      <c r="F18" s="17">
        <f>'By Vendor'!C9</f>
        <v>360773.18</v>
      </c>
      <c r="G18" s="20">
        <f>'By Vendor'!D9</f>
        <v>12</v>
      </c>
    </row>
    <row r="19">
      <c r="A19" s="11" t="s">
        <v>30</v>
      </c>
      <c r="B19" s="12">
        <f>'By Category'!B10</f>
        <v>283222.7</v>
      </c>
      <c r="C19" s="13">
        <f>'By Category'!D10</f>
        <v>0.02433510048</v>
      </c>
      <c r="E19" s="14" t="s">
        <v>31</v>
      </c>
      <c r="F19" s="12">
        <f>'By Vendor'!C10</f>
        <v>310748.14</v>
      </c>
      <c r="G19" s="15">
        <f>'By Vendor'!D10</f>
        <v>4</v>
      </c>
    </row>
    <row r="20">
      <c r="A20" s="16" t="s">
        <v>32</v>
      </c>
      <c r="B20" s="17">
        <f>'By Category'!B11</f>
        <v>190346.2</v>
      </c>
      <c r="C20" s="18">
        <f>'By Category'!D11</f>
        <v>0.01635495284</v>
      </c>
      <c r="E20" s="19" t="s">
        <v>33</v>
      </c>
      <c r="F20" s="17">
        <f>'By Vendor'!C11</f>
        <v>280908.4</v>
      </c>
      <c r="G20" s="20">
        <f>'By Vendor'!D11</f>
        <v>14</v>
      </c>
    </row>
    <row r="21" ht="15.75" customHeight="1">
      <c r="A21" s="11" t="s">
        <v>34</v>
      </c>
      <c r="B21" s="12">
        <f>'By Category'!B12</f>
        <v>190186.44</v>
      </c>
      <c r="C21" s="13">
        <f>'By Category'!D12</f>
        <v>0.01634122592</v>
      </c>
      <c r="E21" s="14" t="s">
        <v>35</v>
      </c>
      <c r="F21" s="12">
        <f>'By Vendor'!C12</f>
        <v>280514.85</v>
      </c>
      <c r="G21" s="15">
        <f>'By Vendor'!D12</f>
        <v>14</v>
      </c>
    </row>
    <row r="22" ht="15.75" customHeight="1">
      <c r="A22" s="16" t="s">
        <v>36</v>
      </c>
      <c r="B22" s="17">
        <f>'By Category'!B13</f>
        <v>183985.91</v>
      </c>
      <c r="C22" s="18">
        <f>'By Category'!D13</f>
        <v>0.01580846311</v>
      </c>
      <c r="E22" s="19" t="s">
        <v>37</v>
      </c>
      <c r="F22" s="17">
        <f>'By Vendor'!C13</f>
        <v>268434</v>
      </c>
      <c r="G22" s="20">
        <f>'By Vendor'!D13</f>
        <v>1</v>
      </c>
    </row>
    <row r="23" ht="15.75" customHeight="1">
      <c r="A23" s="11" t="s">
        <v>38</v>
      </c>
      <c r="B23" s="12">
        <f>'By Category'!B14</f>
        <v>38031.77</v>
      </c>
      <c r="C23" s="13">
        <f>'By Category'!D14</f>
        <v>0.003267771066</v>
      </c>
      <c r="E23" s="14" t="s">
        <v>39</v>
      </c>
      <c r="F23" s="12">
        <f>'By Vendor'!C14</f>
        <v>267596.34</v>
      </c>
      <c r="G23" s="15">
        <f>'By Vendor'!D14</f>
        <v>23</v>
      </c>
    </row>
    <row r="24" ht="15.75" customHeight="1">
      <c r="A24" s="16" t="s">
        <v>40</v>
      </c>
      <c r="B24" s="17">
        <f>'By Category'!B15</f>
        <v>30047.23</v>
      </c>
      <c r="C24" s="18">
        <f>'By Category'!D15</f>
        <v>0.002581722302</v>
      </c>
      <c r="E24" s="19" t="s">
        <v>41</v>
      </c>
      <c r="F24" s="17">
        <f>'By Vendor'!C15</f>
        <v>266605.91</v>
      </c>
      <c r="G24" s="20">
        <f>'By Vendor'!D15</f>
        <v>2</v>
      </c>
    </row>
    <row r="25" ht="15.75" customHeight="1">
      <c r="A25" s="11" t="s">
        <v>42</v>
      </c>
      <c r="B25" s="12">
        <f>'By Category'!B16</f>
        <v>4811</v>
      </c>
      <c r="C25" s="13">
        <f>'By Category'!D16</f>
        <v>0.0004133714155</v>
      </c>
      <c r="E25" s="14" t="s">
        <v>43</v>
      </c>
      <c r="F25" s="12">
        <f>'By Vendor'!C16</f>
        <v>227323.76</v>
      </c>
      <c r="G25" s="15">
        <f>'By Vendor'!D16</f>
        <v>5</v>
      </c>
    </row>
    <row r="26" ht="15.75" customHeight="1">
      <c r="A26" s="21" t="s">
        <v>44</v>
      </c>
      <c r="B26" s="22">
        <f>SUM(B11:B25)</f>
        <v>11638443.83</v>
      </c>
    </row>
    <row r="27" ht="15.75" customHeight="1"/>
    <row r="28" ht="15.75" customHeight="1">
      <c r="A28" s="23" t="s">
        <v>45</v>
      </c>
    </row>
    <row r="29" ht="15.75" customHeight="1">
      <c r="A29" s="24" t="s">
        <v>46</v>
      </c>
    </row>
    <row r="30" ht="15.75" customHeight="1">
      <c r="A30" s="24" t="s">
        <v>47</v>
      </c>
    </row>
    <row r="31" ht="15.75" customHeight="1">
      <c r="A31" s="24" t="s">
        <v>48</v>
      </c>
    </row>
    <row r="32" ht="15.75" customHeight="1">
      <c r="A32" s="24" t="s">
        <v>49</v>
      </c>
    </row>
    <row r="33" ht="15.75" customHeight="1">
      <c r="A33" s="23" t="s">
        <v>50</v>
      </c>
    </row>
    <row r="34" ht="15.75" customHeight="1">
      <c r="A34" s="24" t="s">
        <v>51</v>
      </c>
    </row>
    <row r="35" ht="15.75" customHeight="1">
      <c r="A35" s="24" t="s">
        <v>52</v>
      </c>
    </row>
    <row r="36" ht="15.75" customHeight="1">
      <c r="A36" s="24" t="s">
        <v>53</v>
      </c>
    </row>
    <row r="37" ht="15.75" customHeight="1">
      <c r="A37" s="24" t="s">
        <v>54</v>
      </c>
    </row>
    <row r="38" ht="15.75" customHeight="1">
      <c r="A38" s="24" t="s">
        <v>55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5.0"/>
    <col customWidth="1" min="4" max="4" width="16.0"/>
    <col customWidth="1" min="5" max="5" width="19.0"/>
    <col customWidth="1" min="6" max="6" width="18.0"/>
    <col customWidth="1" min="7" max="7" width="12.0"/>
    <col customWidth="1" min="8" max="26" width="8.71"/>
  </cols>
  <sheetData>
    <row r="1">
      <c r="A1" s="10" t="s">
        <v>56</v>
      </c>
      <c r="B1" s="10" t="s">
        <v>3</v>
      </c>
      <c r="C1" s="10" t="s">
        <v>57</v>
      </c>
      <c r="D1" s="10" t="s">
        <v>4</v>
      </c>
      <c r="E1" s="10" t="s">
        <v>58</v>
      </c>
      <c r="F1" s="10" t="s">
        <v>59</v>
      </c>
      <c r="G1" s="10" t="s">
        <v>60</v>
      </c>
    </row>
    <row r="2">
      <c r="A2" s="16" t="s">
        <v>61</v>
      </c>
      <c r="B2" s="25">
        <f>SUMIF('AP Line Items'!A:A,A2,'AP Line Items'!E:E)</f>
        <v>586548.05</v>
      </c>
      <c r="C2" s="16">
        <f>COUNTIF('AP Line Items'!A:A,A2)</f>
        <v>101</v>
      </c>
      <c r="D2" s="25">
        <f>SUMIF('Utility Refunds'!A:A,A2,'Utility Refunds'!D:D)</f>
        <v>1610.97</v>
      </c>
      <c r="E2" s="25">
        <f t="shared" ref="E2:E22" si="1">B2+D2</f>
        <v>588159.02</v>
      </c>
      <c r="F2" s="25">
        <v>586548.05</v>
      </c>
      <c r="G2" s="20" t="str">
        <f>IF(ROUND(B2-F2,2)=0,"OK","CHECK")</f>
        <v>OK</v>
      </c>
    </row>
    <row r="3">
      <c r="A3" s="11" t="s">
        <v>62</v>
      </c>
      <c r="B3" s="26">
        <f>SUMIF('AP Line Items'!A:A,A3,'AP Line Items'!E:E)</f>
        <v>467011.99</v>
      </c>
      <c r="C3" s="11">
        <f>COUNTIF('AP Line Items'!A:A,A3)</f>
        <v>103</v>
      </c>
      <c r="D3" s="26">
        <f>SUMIF('Utility Refunds'!A:A,A3,'Utility Refunds'!D:D)</f>
        <v>0</v>
      </c>
      <c r="E3" s="26">
        <f t="shared" si="1"/>
        <v>467011.99</v>
      </c>
      <c r="F3" s="26" t="s">
        <v>63</v>
      </c>
      <c r="G3" s="15" t="s">
        <v>64</v>
      </c>
    </row>
    <row r="4">
      <c r="A4" s="16" t="s">
        <v>65</v>
      </c>
      <c r="B4" s="25">
        <f>SUMIF('AP Line Items'!A:A,A4,'AP Line Items'!E:E)</f>
        <v>378057.21</v>
      </c>
      <c r="C4" s="16">
        <f>COUNTIF('AP Line Items'!A:A,A4)</f>
        <v>68</v>
      </c>
      <c r="D4" s="25">
        <f>SUMIF('Utility Refunds'!A:A,A4,'Utility Refunds'!D:D)</f>
        <v>136.54</v>
      </c>
      <c r="E4" s="25">
        <f t="shared" si="1"/>
        <v>378193.75</v>
      </c>
      <c r="F4" s="25">
        <v>378057.21</v>
      </c>
      <c r="G4" s="20" t="str">
        <f t="shared" ref="G4:G5" si="2">IF(ROUND(B4-F4,2)=0,"OK","CHECK")</f>
        <v>OK</v>
      </c>
    </row>
    <row r="5">
      <c r="A5" s="11" t="s">
        <v>66</v>
      </c>
      <c r="B5" s="26">
        <f>SUMIF('AP Line Items'!A:A,A5,'AP Line Items'!E:E)</f>
        <v>95573.55</v>
      </c>
      <c r="C5" s="11">
        <f>COUNTIF('AP Line Items'!A:A,A5)</f>
        <v>26</v>
      </c>
      <c r="D5" s="26">
        <f>SUMIF('Utility Refunds'!A:A,A5,'Utility Refunds'!D:D)</f>
        <v>2765.96</v>
      </c>
      <c r="E5" s="26">
        <f t="shared" si="1"/>
        <v>98339.51</v>
      </c>
      <c r="F5" s="26">
        <v>95573.55</v>
      </c>
      <c r="G5" s="15" t="str">
        <f t="shared" si="2"/>
        <v>OK</v>
      </c>
    </row>
    <row r="6">
      <c r="A6" s="16" t="s">
        <v>67</v>
      </c>
      <c r="B6" s="25">
        <f>SUMIF('AP Line Items'!A:A,A6,'AP Line Items'!E:E)</f>
        <v>698880.9</v>
      </c>
      <c r="C6" s="16">
        <f>COUNTIF('AP Line Items'!A:A,A6)</f>
        <v>107</v>
      </c>
      <c r="D6" s="25">
        <f>SUMIF('Utility Refunds'!A:A,A6,'Utility Refunds'!D:D)</f>
        <v>8222.94</v>
      </c>
      <c r="E6" s="25">
        <f t="shared" si="1"/>
        <v>707103.84</v>
      </c>
      <c r="F6" s="25" t="s">
        <v>63</v>
      </c>
      <c r="G6" s="20" t="s">
        <v>64</v>
      </c>
    </row>
    <row r="7">
      <c r="A7" s="11" t="s">
        <v>68</v>
      </c>
      <c r="B7" s="26">
        <f>SUMIF('AP Line Items'!A:A,A7,'AP Line Items'!E:E)</f>
        <v>550852.8</v>
      </c>
      <c r="C7" s="11">
        <f>COUNTIF('AP Line Items'!A:A,A7)</f>
        <v>74</v>
      </c>
      <c r="D7" s="26">
        <f>SUMIF('Utility Refunds'!A:A,A7,'Utility Refunds'!D:D)</f>
        <v>108.54</v>
      </c>
      <c r="E7" s="26">
        <f t="shared" si="1"/>
        <v>550961.34</v>
      </c>
      <c r="F7" s="26" t="s">
        <v>63</v>
      </c>
      <c r="G7" s="15" t="s">
        <v>64</v>
      </c>
    </row>
    <row r="8">
      <c r="A8" s="16" t="s">
        <v>69</v>
      </c>
      <c r="B8" s="25">
        <f>SUMIF('AP Line Items'!A:A,A8,'AP Line Items'!E:E)</f>
        <v>216970.01</v>
      </c>
      <c r="C8" s="16">
        <f>COUNTIF('AP Line Items'!A:A,A8)</f>
        <v>65</v>
      </c>
      <c r="D8" s="25">
        <f>SUMIF('Utility Refunds'!A:A,A8,'Utility Refunds'!D:D)</f>
        <v>1681.44</v>
      </c>
      <c r="E8" s="25">
        <f t="shared" si="1"/>
        <v>218651.45</v>
      </c>
      <c r="F8" s="25">
        <v>216970.01</v>
      </c>
      <c r="G8" s="20" t="str">
        <f t="shared" ref="G8:G9" si="3">IF(ROUND(B8-F8,2)=0,"OK","CHECK")</f>
        <v>OK</v>
      </c>
    </row>
    <row r="9">
      <c r="A9" s="11" t="s">
        <v>70</v>
      </c>
      <c r="B9" s="26">
        <f>SUMIF('AP Line Items'!A:A,A9,'AP Line Items'!E:E)</f>
        <v>682868.17</v>
      </c>
      <c r="C9" s="11">
        <f>COUNTIF('AP Line Items'!A:A,A9)</f>
        <v>83</v>
      </c>
      <c r="D9" s="26">
        <f>SUMIF('Utility Refunds'!A:A,A9,'Utility Refunds'!D:D)</f>
        <v>1369.75</v>
      </c>
      <c r="E9" s="26">
        <f t="shared" si="1"/>
        <v>684237.92</v>
      </c>
      <c r="F9" s="26">
        <v>682868.17</v>
      </c>
      <c r="G9" s="15" t="str">
        <f t="shared" si="3"/>
        <v>OK</v>
      </c>
    </row>
    <row r="10">
      <c r="A10" s="16" t="s">
        <v>71</v>
      </c>
      <c r="B10" s="25">
        <f>SUMIF('AP Line Items'!A:A,A10,'AP Line Items'!E:E)</f>
        <v>396675.57</v>
      </c>
      <c r="C10" s="16">
        <f>COUNTIF('AP Line Items'!A:A,A10)</f>
        <v>90</v>
      </c>
      <c r="D10" s="25">
        <f>SUMIF('Utility Refunds'!A:A,A10,'Utility Refunds'!D:D)</f>
        <v>144.66</v>
      </c>
      <c r="E10" s="25">
        <f t="shared" si="1"/>
        <v>396820.23</v>
      </c>
      <c r="F10" s="25" t="s">
        <v>63</v>
      </c>
      <c r="G10" s="20" t="s">
        <v>64</v>
      </c>
    </row>
    <row r="11">
      <c r="A11" s="11" t="s">
        <v>72</v>
      </c>
      <c r="B11" s="26">
        <f>SUMIF('AP Line Items'!A:A,A11,'AP Line Items'!E:E)</f>
        <v>2178400.96</v>
      </c>
      <c r="C11" s="11">
        <f>COUNTIF('AP Line Items'!A:A,A11)</f>
        <v>167</v>
      </c>
      <c r="D11" s="26">
        <f>SUMIF('Utility Refunds'!A:A,A11,'Utility Refunds'!D:D)</f>
        <v>455.29</v>
      </c>
      <c r="E11" s="26">
        <f t="shared" si="1"/>
        <v>2178856.25</v>
      </c>
      <c r="F11" s="26" t="s">
        <v>63</v>
      </c>
      <c r="G11" s="15" t="s">
        <v>64</v>
      </c>
    </row>
    <row r="12">
      <c r="A12" s="16" t="s">
        <v>73</v>
      </c>
      <c r="B12" s="25">
        <f>SUMIF('AP Line Items'!A:A,A12,'AP Line Items'!E:E)</f>
        <v>486640.82</v>
      </c>
      <c r="C12" s="16">
        <f>COUNTIF('AP Line Items'!A:A,A12)</f>
        <v>46</v>
      </c>
      <c r="D12" s="25">
        <f>SUMIF('Utility Refunds'!A:A,A12,'Utility Refunds'!D:D)</f>
        <v>0</v>
      </c>
      <c r="E12" s="25">
        <f t="shared" si="1"/>
        <v>486640.82</v>
      </c>
      <c r="F12" s="25">
        <v>486640.82</v>
      </c>
      <c r="G12" s="20" t="str">
        <f>IF(ROUND(B12-F12,2)=0,"OK","CHECK")</f>
        <v>OK</v>
      </c>
    </row>
    <row r="13">
      <c r="A13" s="11" t="s">
        <v>74</v>
      </c>
      <c r="B13" s="26">
        <f>SUMIF('AP Line Items'!A:A,A13,'AP Line Items'!E:E)</f>
        <v>638168.12</v>
      </c>
      <c r="C13" s="11">
        <f>COUNTIF('AP Line Items'!A:A,A13)</f>
        <v>132</v>
      </c>
      <c r="D13" s="26">
        <f>SUMIF('Utility Refunds'!A:A,A13,'Utility Refunds'!D:D)</f>
        <v>2529.66</v>
      </c>
      <c r="E13" s="26">
        <f t="shared" si="1"/>
        <v>640697.78</v>
      </c>
      <c r="F13" s="26" t="s">
        <v>63</v>
      </c>
      <c r="G13" s="15" t="s">
        <v>64</v>
      </c>
    </row>
    <row r="14">
      <c r="A14" s="16" t="s">
        <v>75</v>
      </c>
      <c r="B14" s="25">
        <f>SUMIF('AP Line Items'!A:A,A14,'AP Line Items'!E:E)</f>
        <v>236815.1</v>
      </c>
      <c r="C14" s="16">
        <f>COUNTIF('AP Line Items'!A:A,A14)</f>
        <v>94</v>
      </c>
      <c r="D14" s="25">
        <f>SUMIF('Utility Refunds'!A:A,A14,'Utility Refunds'!D:D)</f>
        <v>213.56</v>
      </c>
      <c r="E14" s="25">
        <f t="shared" si="1"/>
        <v>237028.66</v>
      </c>
      <c r="F14" s="25">
        <v>236815.1</v>
      </c>
      <c r="G14" s="20" t="str">
        <f>IF(ROUND(B14-F14,2)=0,"OK","CHECK")</f>
        <v>OK</v>
      </c>
    </row>
    <row r="15">
      <c r="A15" s="11" t="s">
        <v>76</v>
      </c>
      <c r="B15" s="26">
        <f>SUMIF('AP Line Items'!A:A,A15,'AP Line Items'!E:E)</f>
        <v>680266.07</v>
      </c>
      <c r="C15" s="11">
        <f>COUNTIF('AP Line Items'!A:A,A15)</f>
        <v>116</v>
      </c>
      <c r="D15" s="26">
        <f>SUMIF('Utility Refunds'!A:A,A15,'Utility Refunds'!D:D)</f>
        <v>32.03</v>
      </c>
      <c r="E15" s="26">
        <f t="shared" si="1"/>
        <v>680298.1</v>
      </c>
      <c r="F15" s="26" t="s">
        <v>63</v>
      </c>
      <c r="G15" s="15" t="s">
        <v>64</v>
      </c>
    </row>
    <row r="16">
      <c r="A16" s="16" t="s">
        <v>77</v>
      </c>
      <c r="B16" s="25">
        <f>SUMIF('AP Line Items'!A:A,A16,'AP Line Items'!E:E)</f>
        <v>163323.18</v>
      </c>
      <c r="C16" s="16">
        <f>COUNTIF('AP Line Items'!A:A,A16)</f>
        <v>41</v>
      </c>
      <c r="D16" s="25">
        <f>SUMIF('Utility Refunds'!A:A,A16,'Utility Refunds'!D:D)</f>
        <v>121.89</v>
      </c>
      <c r="E16" s="25">
        <f t="shared" si="1"/>
        <v>163445.07</v>
      </c>
      <c r="F16" s="25">
        <v>163323.18</v>
      </c>
      <c r="G16" s="20" t="str">
        <f t="shared" ref="G16:G19" si="4">IF(ROUND(B16-F16,2)=0,"OK","CHECK")</f>
        <v>OK</v>
      </c>
    </row>
    <row r="17">
      <c r="A17" s="11" t="s">
        <v>78</v>
      </c>
      <c r="B17" s="26">
        <f>SUMIF('AP Line Items'!A:A,A17,'AP Line Items'!E:E)</f>
        <v>1396442.87</v>
      </c>
      <c r="C17" s="11">
        <f>COUNTIF('AP Line Items'!A:A,A17)</f>
        <v>114</v>
      </c>
      <c r="D17" s="26">
        <f>SUMIF('Utility Refunds'!A:A,A17,'Utility Refunds'!D:D)</f>
        <v>618.62</v>
      </c>
      <c r="E17" s="26">
        <f t="shared" si="1"/>
        <v>1397061.49</v>
      </c>
      <c r="F17" s="26">
        <v>1396442.87</v>
      </c>
      <c r="G17" s="15" t="str">
        <f t="shared" si="4"/>
        <v>OK</v>
      </c>
    </row>
    <row r="18">
      <c r="A18" s="16" t="s">
        <v>79</v>
      </c>
      <c r="B18" s="25">
        <f>SUMIF('AP Line Items'!A:A,A18,'AP Line Items'!E:E)</f>
        <v>430976.3</v>
      </c>
      <c r="C18" s="16">
        <f>COUNTIF('AP Line Items'!A:A,A18)</f>
        <v>77</v>
      </c>
      <c r="D18" s="25">
        <f>SUMIF('Utility Refunds'!A:A,A18,'Utility Refunds'!D:D)</f>
        <v>6987.68</v>
      </c>
      <c r="E18" s="25">
        <f t="shared" si="1"/>
        <v>437963.98</v>
      </c>
      <c r="F18" s="25">
        <v>430976.3</v>
      </c>
      <c r="G18" s="20" t="str">
        <f t="shared" si="4"/>
        <v>OK</v>
      </c>
    </row>
    <row r="19">
      <c r="A19" s="11" t="s">
        <v>80</v>
      </c>
      <c r="B19" s="26">
        <f>SUMIF('AP Line Items'!A:A,A19,'AP Line Items'!E:E)</f>
        <v>82239.04</v>
      </c>
      <c r="C19" s="11">
        <f>COUNTIF('AP Line Items'!A:A,A19)</f>
        <v>38</v>
      </c>
      <c r="D19" s="26">
        <f>SUMIF('Utility Refunds'!A:A,A19,'Utility Refunds'!D:D)</f>
        <v>455.44</v>
      </c>
      <c r="E19" s="26">
        <f t="shared" si="1"/>
        <v>82694.48</v>
      </c>
      <c r="F19" s="26">
        <v>82239.04</v>
      </c>
      <c r="G19" s="15" t="str">
        <f t="shared" si="4"/>
        <v>OK</v>
      </c>
    </row>
    <row r="20">
      <c r="A20" s="16" t="s">
        <v>81</v>
      </c>
      <c r="B20" s="25">
        <f>SUMIF('AP Line Items'!A:A,A20,'AP Line Items'!E:E)</f>
        <v>584074.21</v>
      </c>
      <c r="C20" s="16">
        <f>COUNTIF('AP Line Items'!A:A,A20)</f>
        <v>127</v>
      </c>
      <c r="D20" s="25">
        <f>SUMIF('Utility Refunds'!A:A,A20,'Utility Refunds'!D:D)</f>
        <v>0</v>
      </c>
      <c r="E20" s="25">
        <f t="shared" si="1"/>
        <v>584074.21</v>
      </c>
      <c r="F20" s="25" t="s">
        <v>63</v>
      </c>
      <c r="G20" s="20" t="s">
        <v>64</v>
      </c>
    </row>
    <row r="21" ht="15.75" customHeight="1">
      <c r="A21" s="11" t="s">
        <v>82</v>
      </c>
      <c r="B21" s="26">
        <f>SUMIF('AP Line Items'!A:A,A21,'AP Line Items'!E:E)</f>
        <v>149427.08</v>
      </c>
      <c r="C21" s="11">
        <f>COUNTIF('AP Line Items'!A:A,A21)</f>
        <v>48</v>
      </c>
      <c r="D21" s="26">
        <f>SUMIF('Utility Refunds'!A:A,A21,'Utility Refunds'!D:D)</f>
        <v>973.56</v>
      </c>
      <c r="E21" s="26">
        <f t="shared" si="1"/>
        <v>150400.64</v>
      </c>
      <c r="F21" s="26" t="s">
        <v>63</v>
      </c>
      <c r="G21" s="15" t="s">
        <v>64</v>
      </c>
    </row>
    <row r="22" ht="15.75" customHeight="1">
      <c r="A22" s="16" t="s">
        <v>83</v>
      </c>
      <c r="B22" s="25">
        <f>SUMIF('AP Line Items'!A:A,A22,'AP Line Items'!E:E)</f>
        <v>538231.83</v>
      </c>
      <c r="C22" s="16">
        <f>COUNTIF('AP Line Items'!A:A,A22)</f>
        <v>94</v>
      </c>
      <c r="D22" s="25">
        <f>SUMIF('Utility Refunds'!A:A,A22,'Utility Refunds'!D:D)</f>
        <v>121.94</v>
      </c>
      <c r="E22" s="25">
        <f t="shared" si="1"/>
        <v>538353.77</v>
      </c>
      <c r="F22" s="25" t="s">
        <v>63</v>
      </c>
      <c r="G22" s="20" t="s">
        <v>64</v>
      </c>
    </row>
    <row r="23" ht="15.75" customHeight="1">
      <c r="A23" s="27" t="s">
        <v>84</v>
      </c>
      <c r="B23" s="28">
        <f t="shared" ref="B23:E23" si="5">SUM(B2:B22)</f>
        <v>11638443.83</v>
      </c>
      <c r="C23" s="27">
        <f t="shared" si="5"/>
        <v>1811</v>
      </c>
      <c r="D23" s="28">
        <f t="shared" si="5"/>
        <v>28550.47</v>
      </c>
      <c r="E23" s="28">
        <f t="shared" si="5"/>
        <v>11666994.3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6.0"/>
    <col customWidth="1" min="3" max="3" width="13.0"/>
    <col customWidth="1" min="4" max="4" width="10.0"/>
    <col customWidth="1" min="5" max="26" width="8.71"/>
  </cols>
  <sheetData>
    <row r="1">
      <c r="A1" s="10" t="s">
        <v>9</v>
      </c>
      <c r="B1" s="10" t="s">
        <v>10</v>
      </c>
      <c r="C1" s="10" t="s">
        <v>85</v>
      </c>
      <c r="D1" s="10" t="s">
        <v>11</v>
      </c>
    </row>
    <row r="2">
      <c r="A2" s="16" t="s">
        <v>14</v>
      </c>
      <c r="B2" s="25">
        <f>SUMIF('AP Line Items'!D:D,A2,'AP Line Items'!E:E)</f>
        <v>2373254.14</v>
      </c>
      <c r="C2" s="16">
        <f>COUNTIF('AP Line Items'!D:D,A2)</f>
        <v>905</v>
      </c>
      <c r="D2" s="18">
        <f t="shared" ref="D2:D16" si="1">B2/$B$17</f>
        <v>0.2039150744</v>
      </c>
    </row>
    <row r="3">
      <c r="A3" s="11" t="s">
        <v>16</v>
      </c>
      <c r="B3" s="26">
        <f>SUMIF('AP Line Items'!D:D,A3,'AP Line Items'!E:E)</f>
        <v>2045940.49</v>
      </c>
      <c r="C3" s="11">
        <f>COUNTIF('AP Line Items'!D:D,A3)</f>
        <v>110</v>
      </c>
      <c r="D3" s="13">
        <f t="shared" si="1"/>
        <v>0.1757915852</v>
      </c>
    </row>
    <row r="4">
      <c r="A4" s="16" t="s">
        <v>18</v>
      </c>
      <c r="B4" s="25">
        <f>SUMIF('AP Line Items'!D:D,A4,'AP Line Items'!E:E)</f>
        <v>1952538.21</v>
      </c>
      <c r="C4" s="16">
        <f>COUNTIF('AP Line Items'!D:D,A4)</f>
        <v>146</v>
      </c>
      <c r="D4" s="18">
        <f t="shared" si="1"/>
        <v>0.1677662614</v>
      </c>
    </row>
    <row r="5">
      <c r="A5" s="11" t="s">
        <v>20</v>
      </c>
      <c r="B5" s="26">
        <f>SUMIF('AP Line Items'!D:D,A5,'AP Line Items'!E:E)</f>
        <v>1113691.35</v>
      </c>
      <c r="C5" s="11">
        <f>COUNTIF('AP Line Items'!D:D,A5)</f>
        <v>101</v>
      </c>
      <c r="D5" s="13">
        <f t="shared" si="1"/>
        <v>0.09569074408</v>
      </c>
    </row>
    <row r="6">
      <c r="A6" s="16" t="s">
        <v>22</v>
      </c>
      <c r="B6" s="25">
        <f>SUMIF('AP Line Items'!D:D,A6,'AP Line Items'!E:E)</f>
        <v>1041950.95</v>
      </c>
      <c r="C6" s="16">
        <f>COUNTIF('AP Line Items'!D:D,A6)</f>
        <v>78</v>
      </c>
      <c r="D6" s="18">
        <f t="shared" si="1"/>
        <v>0.08952665539</v>
      </c>
    </row>
    <row r="7">
      <c r="A7" s="11" t="s">
        <v>24</v>
      </c>
      <c r="B7" s="26">
        <f>SUMIF('AP Line Items'!D:D,A7,'AP Line Items'!E:E)</f>
        <v>938738.19</v>
      </c>
      <c r="C7" s="11">
        <f>COUNTIF('AP Line Items'!D:D,A7)</f>
        <v>11</v>
      </c>
      <c r="D7" s="13">
        <f t="shared" si="1"/>
        <v>0.08065839417</v>
      </c>
    </row>
    <row r="8">
      <c r="A8" s="16" t="s">
        <v>26</v>
      </c>
      <c r="B8" s="25">
        <f>SUMIF('AP Line Items'!D:D,A8,'AP Line Items'!E:E)</f>
        <v>890926.07</v>
      </c>
      <c r="C8" s="16">
        <f>COUNTIF('AP Line Items'!D:D,A8)</f>
        <v>43</v>
      </c>
      <c r="D8" s="18">
        <f t="shared" si="1"/>
        <v>0.07655027451</v>
      </c>
    </row>
    <row r="9">
      <c r="A9" s="11" t="s">
        <v>28</v>
      </c>
      <c r="B9" s="26">
        <f>SUMIF('AP Line Items'!D:D,A9,'AP Line Items'!E:E)</f>
        <v>360773.18</v>
      </c>
      <c r="C9" s="11">
        <f>COUNTIF('AP Line Items'!D:D,A9)</f>
        <v>12</v>
      </c>
      <c r="D9" s="13">
        <f t="shared" si="1"/>
        <v>0.03099840368</v>
      </c>
    </row>
    <row r="10">
      <c r="A10" s="16" t="s">
        <v>30</v>
      </c>
      <c r="B10" s="25">
        <f>SUMIF('AP Line Items'!D:D,A10,'AP Line Items'!E:E)</f>
        <v>283222.7</v>
      </c>
      <c r="C10" s="16">
        <f>COUNTIF('AP Line Items'!D:D,A10)</f>
        <v>87</v>
      </c>
      <c r="D10" s="18">
        <f t="shared" si="1"/>
        <v>0.02433510048</v>
      </c>
    </row>
    <row r="11">
      <c r="A11" s="11" t="s">
        <v>32</v>
      </c>
      <c r="B11" s="26">
        <f>SUMIF('AP Line Items'!D:D,A11,'AP Line Items'!E:E)</f>
        <v>190346.2</v>
      </c>
      <c r="C11" s="11">
        <f>COUNTIF('AP Line Items'!D:D,A11)</f>
        <v>16</v>
      </c>
      <c r="D11" s="13">
        <f t="shared" si="1"/>
        <v>0.01635495284</v>
      </c>
    </row>
    <row r="12">
      <c r="A12" s="16" t="s">
        <v>34</v>
      </c>
      <c r="B12" s="25">
        <f>SUMIF('AP Line Items'!D:D,A12,'AP Line Items'!E:E)</f>
        <v>190186.44</v>
      </c>
      <c r="C12" s="16">
        <f>COUNTIF('AP Line Items'!D:D,A12)</f>
        <v>2</v>
      </c>
      <c r="D12" s="18">
        <f t="shared" si="1"/>
        <v>0.01634122592</v>
      </c>
    </row>
    <row r="13">
      <c r="A13" s="11" t="s">
        <v>36</v>
      </c>
      <c r="B13" s="26">
        <f>SUMIF('AP Line Items'!D:D,A13,'AP Line Items'!E:E)</f>
        <v>183985.91</v>
      </c>
      <c r="C13" s="11">
        <f>COUNTIF('AP Line Items'!D:D,A13)</f>
        <v>125</v>
      </c>
      <c r="D13" s="13">
        <f t="shared" si="1"/>
        <v>0.01580846311</v>
      </c>
    </row>
    <row r="14">
      <c r="A14" s="16" t="s">
        <v>38</v>
      </c>
      <c r="B14" s="25">
        <f>SUMIF('AP Line Items'!D:D,A14,'AP Line Items'!E:E)</f>
        <v>38031.77</v>
      </c>
      <c r="C14" s="16">
        <f>COUNTIF('AP Line Items'!D:D,A14)</f>
        <v>108</v>
      </c>
      <c r="D14" s="18">
        <f t="shared" si="1"/>
        <v>0.003267771066</v>
      </c>
    </row>
    <row r="15">
      <c r="A15" s="11" t="s">
        <v>40</v>
      </c>
      <c r="B15" s="26">
        <f>SUMIF('AP Line Items'!D:D,A15,'AP Line Items'!E:E)</f>
        <v>30047.23</v>
      </c>
      <c r="C15" s="11">
        <f>COUNTIF('AP Line Items'!D:D,A15)</f>
        <v>49</v>
      </c>
      <c r="D15" s="13">
        <f t="shared" si="1"/>
        <v>0.002581722302</v>
      </c>
    </row>
    <row r="16">
      <c r="A16" s="16" t="s">
        <v>42</v>
      </c>
      <c r="B16" s="25">
        <f>SUMIF('AP Line Items'!D:D,A16,'AP Line Items'!E:E)</f>
        <v>4811</v>
      </c>
      <c r="C16" s="16">
        <f>COUNTIF('AP Line Items'!D:D,A16)</f>
        <v>18</v>
      </c>
      <c r="D16" s="18">
        <f t="shared" si="1"/>
        <v>0.0004133714155</v>
      </c>
    </row>
    <row r="17">
      <c r="A17" s="27" t="s">
        <v>44</v>
      </c>
      <c r="B17" s="28">
        <f>SUM(B2:B16)</f>
        <v>11638443.83</v>
      </c>
      <c r="D17" s="29">
        <f>SUM(D2:D16)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30.0"/>
    <col customWidth="1" min="3" max="3" width="16.0"/>
    <col customWidth="1" min="4" max="4" width="12.0"/>
    <col customWidth="1" min="5" max="5" width="10.0"/>
    <col customWidth="1" min="6" max="26" width="8.71"/>
  </cols>
  <sheetData>
    <row r="1">
      <c r="A1" s="10" t="s">
        <v>86</v>
      </c>
      <c r="B1" s="10" t="s">
        <v>9</v>
      </c>
      <c r="C1" s="10" t="s">
        <v>10</v>
      </c>
      <c r="D1" s="10" t="s">
        <v>87</v>
      </c>
      <c r="E1" s="10" t="s">
        <v>11</v>
      </c>
    </row>
    <row r="2">
      <c r="A2" s="14" t="s">
        <v>15</v>
      </c>
      <c r="B2" s="14" t="s">
        <v>20</v>
      </c>
      <c r="C2" s="30">
        <f>SUMIF('AP Line Items'!C:C,"NEXGRID",'AP Line Items'!E:E)</f>
        <v>711670.11</v>
      </c>
      <c r="D2" s="14">
        <f>COUNTIF('AP Line Items'!C:C,"NEXGRID")</f>
        <v>8</v>
      </c>
      <c r="E2" s="31">
        <f t="shared" ref="E2:E446" si="1">C2/$C$447</f>
        <v>0.06114821882</v>
      </c>
    </row>
    <row r="3">
      <c r="A3" s="14" t="s">
        <v>17</v>
      </c>
      <c r="B3" s="14" t="s">
        <v>18</v>
      </c>
      <c r="C3" s="30">
        <f>SUMIF('AP Line Items'!C:C,"ATLANTIC MACHINERY",'AP Line Items'!E:E)</f>
        <v>632266.99</v>
      </c>
      <c r="D3" s="14">
        <f>COUNTIF('AP Line Items'!C:C,"ATLANTIC MACHINERY")</f>
        <v>7</v>
      </c>
      <c r="E3" s="31">
        <f t="shared" si="1"/>
        <v>0.05432573282</v>
      </c>
    </row>
    <row r="4">
      <c r="A4" s="14" t="s">
        <v>19</v>
      </c>
      <c r="B4" s="14" t="s">
        <v>16</v>
      </c>
      <c r="C4" s="30">
        <f>SUMIF('AP Line Items'!C:C,"BENEFITMALL",'AP Line Items'!E:E)</f>
        <v>620063.52</v>
      </c>
      <c r="D4" s="14">
        <f>COUNTIF('AP Line Items'!C:C,"BENEFITMALL")</f>
        <v>6</v>
      </c>
      <c r="E4" s="31">
        <f t="shared" si="1"/>
        <v>0.05327718457</v>
      </c>
    </row>
    <row r="5">
      <c r="A5" s="14" t="s">
        <v>21</v>
      </c>
      <c r="B5" s="14" t="s">
        <v>16</v>
      </c>
      <c r="C5" s="30">
        <f>SUMIF('AP Line Items'!C:C,"CRC BENEFITS",'AP Line Items'!E:E)</f>
        <v>571604.82</v>
      </c>
      <c r="D5" s="14">
        <f>COUNTIF('AP Line Items'!C:C,"CRC BENEFITS")</f>
        <v>6</v>
      </c>
      <c r="E5" s="31">
        <f t="shared" si="1"/>
        <v>0.04911350936</v>
      </c>
    </row>
    <row r="6">
      <c r="A6" s="14" t="s">
        <v>23</v>
      </c>
      <c r="B6" s="14" t="s">
        <v>24</v>
      </c>
      <c r="C6" s="30">
        <f>SUMIF('AP Line Items'!C:C,"BERLIN FIRE COMPANY EMERGENCY MEDICAL SERVICES",'AP Line Items'!E:E)</f>
        <v>499000</v>
      </c>
      <c r="D6" s="14">
        <f>COUNTIF('AP Line Items'!C:C,"BERLIN FIRE COMPANY EMERGENCY MEDICAL SERVICES")</f>
        <v>1</v>
      </c>
      <c r="E6" s="31">
        <f t="shared" si="1"/>
        <v>0.04287514785</v>
      </c>
    </row>
    <row r="7">
      <c r="A7" s="14" t="s">
        <v>25</v>
      </c>
      <c r="B7" s="14" t="s">
        <v>18</v>
      </c>
      <c r="C7" s="30">
        <f>SUMIF('AP Line Items'!C:C,"HERTRICH",'AP Line Items'!E:E)</f>
        <v>441931</v>
      </c>
      <c r="D7" s="14">
        <f>COUNTIF('AP Line Items'!C:C,"HERTRICH")</f>
        <v>4</v>
      </c>
      <c r="E7" s="31">
        <f t="shared" si="1"/>
        <v>0.03797165725</v>
      </c>
    </row>
    <row r="8">
      <c r="A8" s="14" t="s">
        <v>27</v>
      </c>
      <c r="B8" s="14" t="s">
        <v>24</v>
      </c>
      <c r="C8" s="30">
        <f>SUMIF('AP Line Items'!C:C,"BERLIN FIRE",'AP Line Items'!E:E)</f>
        <v>430775.24</v>
      </c>
      <c r="D8" s="14">
        <f>COUNTIF('AP Line Items'!C:C,"BERLIN FIRE")</f>
        <v>5</v>
      </c>
      <c r="E8" s="31">
        <f t="shared" si="1"/>
        <v>0.03701313047</v>
      </c>
    </row>
    <row r="9">
      <c r="A9" s="14" t="s">
        <v>29</v>
      </c>
      <c r="B9" s="14" t="s">
        <v>28</v>
      </c>
      <c r="C9" s="30">
        <f>SUMIF('AP Line Items'!C:C,"TOWN OF BERLIN",'AP Line Items'!E:E)</f>
        <v>360773.18</v>
      </c>
      <c r="D9" s="14">
        <f>COUNTIF('AP Line Items'!C:C,"TOWN OF BERLIN")</f>
        <v>12</v>
      </c>
      <c r="E9" s="31">
        <f t="shared" si="1"/>
        <v>0.03099840368</v>
      </c>
    </row>
    <row r="10">
      <c r="A10" s="14" t="s">
        <v>31</v>
      </c>
      <c r="B10" s="14" t="s">
        <v>26</v>
      </c>
      <c r="C10" s="30">
        <f>SUMIF('AP Line Items'!C:C,"EAST COAST CONTRACTING",'AP Line Items'!E:E)</f>
        <v>310748.14</v>
      </c>
      <c r="D10" s="14">
        <f>COUNTIF('AP Line Items'!C:C,"EAST COAST CONTRACTING")</f>
        <v>4</v>
      </c>
      <c r="E10" s="31">
        <f t="shared" si="1"/>
        <v>0.02670014519</v>
      </c>
    </row>
    <row r="11">
      <c r="A11" s="14" t="s">
        <v>33</v>
      </c>
      <c r="B11" s="14" t="s">
        <v>22</v>
      </c>
      <c r="C11" s="30">
        <f>SUMIF('AP Line Items'!C:C,"DAVIS BOWEN &amp; FRIEDEL",'AP Line Items'!E:E)</f>
        <v>280908.4</v>
      </c>
      <c r="D11" s="14">
        <f>COUNTIF('AP Line Items'!C:C,"DAVIS BOWEN &amp; FRIEDEL")</f>
        <v>14</v>
      </c>
      <c r="E11" s="31">
        <f t="shared" si="1"/>
        <v>0.02413625087</v>
      </c>
    </row>
    <row r="12">
      <c r="A12" s="14" t="s">
        <v>35</v>
      </c>
      <c r="B12" s="14" t="s">
        <v>22</v>
      </c>
      <c r="C12" s="30">
        <f>SUMIF('AP Line Items'!C:C,"HALEY ARCHITECTURE",'AP Line Items'!E:E)</f>
        <v>280514.85</v>
      </c>
      <c r="D12" s="14">
        <f>COUNTIF('AP Line Items'!C:C,"HALEY ARCHITECTURE")</f>
        <v>14</v>
      </c>
      <c r="E12" s="31">
        <f t="shared" si="1"/>
        <v>0.02410243621</v>
      </c>
    </row>
    <row r="13">
      <c r="A13" s="14" t="s">
        <v>37</v>
      </c>
      <c r="B13" s="14" t="s">
        <v>16</v>
      </c>
      <c r="C13" s="30">
        <f>SUMIF('AP Line Items'!C:C,"ATT:DATA CONTROLL DIV-PAYROLL MARYLAND STATE RETIREMENT",'AP Line Items'!E:E)</f>
        <v>268434</v>
      </c>
      <c r="D13" s="14">
        <f>COUNTIF('AP Line Items'!C:C,"ATT:DATA CONTROLL DIV-PAYROLL MARYLAND STATE RETIREMENT")</f>
        <v>1</v>
      </c>
      <c r="E13" s="31">
        <f t="shared" si="1"/>
        <v>0.02306442373</v>
      </c>
    </row>
    <row r="14">
      <c r="A14" s="14" t="s">
        <v>39</v>
      </c>
      <c r="B14" s="14" t="s">
        <v>16</v>
      </c>
      <c r="C14" s="30">
        <f>SUMIF('AP Line Items'!C:C,"COMPTROLLER OF MARYLAND",'AP Line Items'!E:E)</f>
        <v>267596.34</v>
      </c>
      <c r="D14" s="14">
        <f>COUNTIF('AP Line Items'!C:C,"COMPTROLLER OF MARYLAND")</f>
        <v>23</v>
      </c>
      <c r="E14" s="31">
        <f t="shared" si="1"/>
        <v>0.02299245019</v>
      </c>
    </row>
    <row r="15">
      <c r="A15" s="14" t="s">
        <v>41</v>
      </c>
      <c r="B15" s="14" t="s">
        <v>14</v>
      </c>
      <c r="C15" s="30">
        <f>SUMIF('AP Line Items'!C:C,"CUNNINGHAM ASSOCIATES",'AP Line Items'!E:E)</f>
        <v>266605.91</v>
      </c>
      <c r="D15" s="14">
        <f>COUNTIF('AP Line Items'!C:C,"CUNNINGHAM ASSOCIATES")</f>
        <v>2</v>
      </c>
      <c r="E15" s="31">
        <f t="shared" si="1"/>
        <v>0.02290735032</v>
      </c>
    </row>
    <row r="16">
      <c r="A16" s="14" t="s">
        <v>43</v>
      </c>
      <c r="B16" s="14" t="s">
        <v>18</v>
      </c>
      <c r="C16" s="30">
        <f>SUMIF('AP Line Items'!C:C,"THE PETE STORE",'AP Line Items'!E:E)</f>
        <v>227323.76</v>
      </c>
      <c r="D16" s="14">
        <f>COUNTIF('AP Line Items'!C:C,"THE PETE STORE")</f>
        <v>5</v>
      </c>
      <c r="E16" s="31">
        <f t="shared" si="1"/>
        <v>0.01953214393</v>
      </c>
    </row>
    <row r="17">
      <c r="A17" s="14" t="s">
        <v>88</v>
      </c>
      <c r="B17" s="14" t="s">
        <v>18</v>
      </c>
      <c r="C17" s="30">
        <f>SUMIF('AP Line Items'!C:C,"GRAN TURK EQUIPMENT",'AP Line Items'!E:E)</f>
        <v>205674.47</v>
      </c>
      <c r="D17" s="14">
        <f>COUNTIF('AP Line Items'!C:C,"GRAN TURK EQUIPMENT")</f>
        <v>2</v>
      </c>
      <c r="E17" s="31">
        <f t="shared" si="1"/>
        <v>0.0176719906</v>
      </c>
    </row>
    <row r="18">
      <c r="A18" s="14" t="s">
        <v>89</v>
      </c>
      <c r="B18" s="14" t="s">
        <v>34</v>
      </c>
      <c r="C18" s="30">
        <f>SUMIF('AP Line Items'!C:C,"MARYLAND WATER QUALITY FINANCING ADMINISTRATION",'AP Line Items'!E:E)</f>
        <v>190186.44</v>
      </c>
      <c r="D18" s="14">
        <f>COUNTIF('AP Line Items'!C:C,"MARYLAND WATER QUALITY FINANCING ADMINISTRATION")</f>
        <v>2</v>
      </c>
      <c r="E18" s="31">
        <f t="shared" si="1"/>
        <v>0.01634122592</v>
      </c>
    </row>
    <row r="19">
      <c r="A19" s="14" t="s">
        <v>90</v>
      </c>
      <c r="B19" s="14" t="s">
        <v>18</v>
      </c>
      <c r="C19" s="30">
        <f>SUMIF('AP Line Items'!C:C,"CARTER MACHINERY COMPANY",'AP Line Items'!E:E)</f>
        <v>189254.63</v>
      </c>
      <c r="D19" s="14">
        <f>COUNTIF('AP Line Items'!C:C,"CARTER MACHINERY COMPANY")</f>
        <v>13</v>
      </c>
      <c r="E19" s="31">
        <f t="shared" si="1"/>
        <v>0.01626116281</v>
      </c>
    </row>
    <row r="20">
      <c r="A20" s="14" t="s">
        <v>91</v>
      </c>
      <c r="B20" s="14" t="s">
        <v>32</v>
      </c>
      <c r="C20" s="30">
        <f>SUMIF('AP Line Items'!C:C,"WORCESTER COUNTY LANDFILL",'AP Line Items'!E:E)</f>
        <v>186418.7</v>
      </c>
      <c r="D20" s="14">
        <f>COUNTIF('AP Line Items'!C:C,"WORCESTER COUNTY LANDFILL")</f>
        <v>14</v>
      </c>
      <c r="E20" s="31">
        <f t="shared" si="1"/>
        <v>0.01601749364</v>
      </c>
    </row>
    <row r="21" ht="15.75" customHeight="1">
      <c r="A21" s="14" t="s">
        <v>92</v>
      </c>
      <c r="B21" s="14" t="s">
        <v>26</v>
      </c>
      <c r="C21" s="30">
        <f>SUMIF('AP Line Items'!C:C,"HOPKINS CONSTRUCTION",'AP Line Items'!E:E)</f>
        <v>169845.97</v>
      </c>
      <c r="D21" s="14">
        <f>COUNTIF('AP Line Items'!C:C,"HOPKINS CONSTRUCTION")</f>
        <v>3</v>
      </c>
      <c r="E21" s="31">
        <f t="shared" si="1"/>
        <v>0.01459352921</v>
      </c>
    </row>
    <row r="22" ht="15.75" customHeight="1">
      <c r="A22" s="14" t="s">
        <v>93</v>
      </c>
      <c r="B22" s="14" t="s">
        <v>16</v>
      </c>
      <c r="C22" s="30">
        <f>SUMIF('AP Line Items'!C:C,"LOCAL GOVERNMENT INSURANCE TRUST",'AP Line Items'!E:E)</f>
        <v>166471</v>
      </c>
      <c r="D22" s="14">
        <f>COUNTIF('AP Line Items'!C:C,"LOCAL GOVERNMENT INSURANCE TRUST")</f>
        <v>11</v>
      </c>
      <c r="E22" s="31">
        <f t="shared" si="1"/>
        <v>0.01430354457</v>
      </c>
    </row>
    <row r="23" ht="15.75" customHeight="1">
      <c r="A23" s="14" t="s">
        <v>94</v>
      </c>
      <c r="B23" s="14" t="s">
        <v>22</v>
      </c>
      <c r="C23" s="30">
        <f>SUMIF('AP Line Items'!C:C,"BOOTH &amp; ASSOCIATES",'AP Line Items'!E:E)</f>
        <v>153336.79</v>
      </c>
      <c r="D23" s="14">
        <f>COUNTIF('AP Line Items'!C:C,"BOOTH &amp; ASSOCIATES")</f>
        <v>10</v>
      </c>
      <c r="E23" s="31">
        <f t="shared" si="1"/>
        <v>0.01317502514</v>
      </c>
    </row>
    <row r="24" ht="15.75" customHeight="1">
      <c r="A24" s="14" t="s">
        <v>95</v>
      </c>
      <c r="B24" s="14" t="s">
        <v>14</v>
      </c>
      <c r="C24" s="30">
        <f>SUMIF('AP Line Items'!C:C,"CATO OIL",'AP Line Items'!E:E)</f>
        <v>142760.07</v>
      </c>
      <c r="D24" s="14">
        <f>COUNTIF('AP Line Items'!C:C,"CATO OIL")</f>
        <v>11</v>
      </c>
      <c r="E24" s="31">
        <f t="shared" si="1"/>
        <v>0.01226625072</v>
      </c>
    </row>
    <row r="25" ht="15.75" customHeight="1">
      <c r="A25" s="14" t="s">
        <v>96</v>
      </c>
      <c r="B25" s="14" t="s">
        <v>20</v>
      </c>
      <c r="C25" s="30">
        <f>SUMIF('AP Line Items'!C:C,"HAWKINS",'AP Line Items'!E:E)</f>
        <v>138456.42</v>
      </c>
      <c r="D25" s="14">
        <f>COUNTIF('AP Line Items'!C:C,"HAWKINS")</f>
        <v>24</v>
      </c>
      <c r="E25" s="31">
        <f t="shared" si="1"/>
        <v>0.0118964719</v>
      </c>
    </row>
    <row r="26" ht="15.75" customHeight="1">
      <c r="A26" s="14" t="s">
        <v>97</v>
      </c>
      <c r="B26" s="14" t="s">
        <v>30</v>
      </c>
      <c r="C26" s="30">
        <f>SUMIF('AP Line Items'!C:C,"TYLER TECHNOLOGIES",'AP Line Items'!E:E)</f>
        <v>133154.89</v>
      </c>
      <c r="D26" s="14">
        <f>COUNTIF('AP Line Items'!C:C,"TYLER TECHNOLOGIES")</f>
        <v>9</v>
      </c>
      <c r="E26" s="31">
        <f t="shared" si="1"/>
        <v>0.0114409531</v>
      </c>
    </row>
    <row r="27" ht="15.75" customHeight="1">
      <c r="A27" s="14" t="s">
        <v>98</v>
      </c>
      <c r="B27" s="14" t="s">
        <v>26</v>
      </c>
      <c r="C27" s="30">
        <f>SUMIF('AP Line Items'!C:C,"GROUNDWORK SOLUTIONS",'AP Line Items'!E:E)</f>
        <v>116132.48</v>
      </c>
      <c r="D27" s="14">
        <f>COUNTIF('AP Line Items'!C:C,"GROUNDWORK SOLUTIONS")</f>
        <v>8</v>
      </c>
      <c r="E27" s="31">
        <f t="shared" si="1"/>
        <v>0.009978351204</v>
      </c>
    </row>
    <row r="28" ht="15.75" customHeight="1">
      <c r="A28" s="14" t="s">
        <v>99</v>
      </c>
      <c r="B28" s="14" t="s">
        <v>16</v>
      </c>
      <c r="C28" s="30">
        <f>SUMIF('AP Line Items'!C:C,"NATIONWIDE RETIREMENT SOLUTIONS",'AP Line Items'!E:E)</f>
        <v>112590</v>
      </c>
      <c r="D28" s="14">
        <f>COUNTIF('AP Line Items'!C:C,"NATIONWIDE RETIREMENT SOLUTIONS")</f>
        <v>25</v>
      </c>
      <c r="E28" s="31">
        <f t="shared" si="1"/>
        <v>0.009673973741</v>
      </c>
    </row>
    <row r="29" ht="15.75" customHeight="1">
      <c r="A29" s="14" t="s">
        <v>100</v>
      </c>
      <c r="B29" s="14" t="s">
        <v>22</v>
      </c>
      <c r="C29" s="30">
        <f>SUMIF('AP Line Items'!C:C,"EA ENGINEERING SCIENCE AND TECHNOLOGY PBC",'AP Line Items'!E:E)</f>
        <v>99357.07</v>
      </c>
      <c r="D29" s="14">
        <f>COUNTIF('AP Line Items'!C:C,"EA ENGINEERING SCIENCE AND TECHNOLOGY PBC")</f>
        <v>9</v>
      </c>
      <c r="E29" s="31">
        <f t="shared" si="1"/>
        <v>0.008536972077</v>
      </c>
    </row>
    <row r="30" ht="15.75" customHeight="1">
      <c r="A30" s="14" t="s">
        <v>101</v>
      </c>
      <c r="B30" s="14" t="s">
        <v>14</v>
      </c>
      <c r="C30" s="30">
        <f>SUMIF('AP Line Items'!C:C,"KELLER BROTHERS",'AP Line Items'!E:E)</f>
        <v>96681.5</v>
      </c>
      <c r="D30" s="14">
        <f>COUNTIF('AP Line Items'!C:C,"KELLER BROTHERS")</f>
        <v>1</v>
      </c>
      <c r="E30" s="31">
        <f t="shared" si="1"/>
        <v>0.008307081377</v>
      </c>
    </row>
    <row r="31" ht="15.75" customHeight="1">
      <c r="A31" s="14" t="s">
        <v>102</v>
      </c>
      <c r="B31" s="14" t="s">
        <v>14</v>
      </c>
      <c r="C31" s="30">
        <f>SUMIF('AP Line Items'!C:C,"BECKER MORGAN GROUP",'AP Line Items'!E:E)</f>
        <v>95485.87</v>
      </c>
      <c r="D31" s="14">
        <f>COUNTIF('AP Line Items'!C:C,"BECKER MORGAN GROUP")</f>
        <v>9</v>
      </c>
      <c r="E31" s="31">
        <f t="shared" si="1"/>
        <v>0.008204350289</v>
      </c>
    </row>
    <row r="32" ht="15.75" customHeight="1">
      <c r="A32" s="14" t="s">
        <v>103</v>
      </c>
      <c r="B32" s="14" t="s">
        <v>30</v>
      </c>
      <c r="C32" s="30">
        <f>SUMIF('AP Line Items'!C:C,"TECHMD",'AP Line Items'!E:E)</f>
        <v>90473.98</v>
      </c>
      <c r="D32" s="14">
        <f>COUNTIF('AP Line Items'!C:C,"TECHMD")</f>
        <v>24</v>
      </c>
      <c r="E32" s="31">
        <f t="shared" si="1"/>
        <v>0.007773717975</v>
      </c>
    </row>
    <row r="33" ht="15.75" customHeight="1">
      <c r="A33" s="14" t="s">
        <v>104</v>
      </c>
      <c r="B33" s="14" t="s">
        <v>18</v>
      </c>
      <c r="C33" s="30">
        <f>SUMIF('AP Line Items'!C:C,"LINDSAY FORD",'AP Line Items'!E:E)</f>
        <v>89674</v>
      </c>
      <c r="D33" s="14">
        <f>COUNTIF('AP Line Items'!C:C,"LINDSAY FORD")</f>
        <v>1</v>
      </c>
      <c r="E33" s="31">
        <f t="shared" si="1"/>
        <v>0.007704981981</v>
      </c>
    </row>
    <row r="34" ht="15.75" customHeight="1">
      <c r="A34" s="14" t="s">
        <v>105</v>
      </c>
      <c r="B34" s="14" t="s">
        <v>22</v>
      </c>
      <c r="C34" s="30">
        <f>SUMIF('AP Line Items'!C:C,"PIGG KRAHL STERN &amp; PA",'AP Line Items'!E:E)</f>
        <v>82900</v>
      </c>
      <c r="D34" s="14">
        <f>COUNTIF('AP Line Items'!C:C,"PIGG KRAHL STERN &amp; PA")</f>
        <v>3</v>
      </c>
      <c r="E34" s="31">
        <f t="shared" si="1"/>
        <v>0.007122945405</v>
      </c>
    </row>
    <row r="35" ht="15.75" customHeight="1">
      <c r="A35" s="14" t="s">
        <v>106</v>
      </c>
      <c r="B35" s="14" t="s">
        <v>26</v>
      </c>
      <c r="C35" s="30">
        <f>SUMIF('AP Line Items'!C:C,"BENNETT CONSTRUCTION",'AP Line Items'!E:E)</f>
        <v>72684.9</v>
      </c>
      <c r="D35" s="14">
        <f>COUNTIF('AP Line Items'!C:C,"BENNETT CONSTRUCTION")</f>
        <v>1</v>
      </c>
      <c r="E35" s="31">
        <f t="shared" si="1"/>
        <v>0.006245242153</v>
      </c>
    </row>
    <row r="36" ht="15.75" customHeight="1">
      <c r="A36" s="14" t="s">
        <v>107</v>
      </c>
      <c r="B36" s="14" t="s">
        <v>26</v>
      </c>
      <c r="C36" s="30">
        <f>SUMIF('AP Line Items'!C:C,"AC SCHULTES OF DELAWARE",'AP Line Items'!E:E)</f>
        <v>71960</v>
      </c>
      <c r="D36" s="14">
        <f>COUNTIF('AP Line Items'!C:C,"AC SCHULTES OF DELAWARE")</f>
        <v>3</v>
      </c>
      <c r="E36" s="31">
        <f t="shared" si="1"/>
        <v>0.006182957194</v>
      </c>
    </row>
    <row r="37" ht="15.75" customHeight="1">
      <c r="A37" s="14" t="s">
        <v>108</v>
      </c>
      <c r="B37" s="14" t="s">
        <v>14</v>
      </c>
      <c r="C37" s="30">
        <f>SUMIF('AP Line Items'!C:C,"DEERE &amp; COMPANY",'AP Line Items'!E:E)</f>
        <v>67938.76</v>
      </c>
      <c r="D37" s="14">
        <f>COUNTIF('AP Line Items'!C:C,"DEERE &amp; COMPANY")</f>
        <v>1</v>
      </c>
      <c r="E37" s="31">
        <f t="shared" si="1"/>
        <v>0.005837443647</v>
      </c>
    </row>
    <row r="38" ht="15.75" customHeight="1">
      <c r="A38" s="14" t="s">
        <v>109</v>
      </c>
      <c r="B38" s="14" t="s">
        <v>22</v>
      </c>
      <c r="C38" s="30">
        <f>SUMIF('AP Line Items'!C:C,"FREEMIRE &amp; ASSOCIATES",'AP Line Items'!E:E)</f>
        <v>67451.82</v>
      </c>
      <c r="D38" s="14">
        <f>COUNTIF('AP Line Items'!C:C,"FREEMIRE &amp; ASSOCIATES")</f>
        <v>6</v>
      </c>
      <c r="E38" s="31">
        <f t="shared" si="1"/>
        <v>0.00579560472</v>
      </c>
    </row>
    <row r="39" ht="15.75" customHeight="1">
      <c r="A39" s="14" t="s">
        <v>110</v>
      </c>
      <c r="B39" s="14" t="s">
        <v>36</v>
      </c>
      <c r="C39" s="30">
        <f>SUMIF('AP Line Items'!C:C,"AT&amp;T MOBILITY",'AP Line Items'!E:E)</f>
        <v>65730.7</v>
      </c>
      <c r="D39" s="14">
        <f>COUNTIF('AP Line Items'!C:C,"AT&amp;T MOBILITY")</f>
        <v>13</v>
      </c>
      <c r="E39" s="31">
        <f t="shared" si="1"/>
        <v>0.005647722407</v>
      </c>
    </row>
    <row r="40" ht="15.75" customHeight="1">
      <c r="A40" s="14" t="s">
        <v>111</v>
      </c>
      <c r="B40" s="14" t="s">
        <v>26</v>
      </c>
      <c r="C40" s="30">
        <f>SUMIF('AP Line Items'!C:C,"EAST COAST UNDERGROUND",'AP Line Items'!E:E)</f>
        <v>63814.12</v>
      </c>
      <c r="D40" s="14">
        <f>COUNTIF('AP Line Items'!C:C,"EAST COAST UNDERGROUND")</f>
        <v>1</v>
      </c>
      <c r="E40" s="31">
        <f t="shared" si="1"/>
        <v>0.005483045752</v>
      </c>
    </row>
    <row r="41" ht="15.75" customHeight="1">
      <c r="A41" s="14" t="s">
        <v>112</v>
      </c>
      <c r="B41" s="14" t="s">
        <v>14</v>
      </c>
      <c r="C41" s="30">
        <f>SUMIF('AP Line Items'!C:C,"WILLIAM E ESHAM JR",'AP Line Items'!E:E)</f>
        <v>60000</v>
      </c>
      <c r="D41" s="14">
        <f>COUNTIF('AP Line Items'!C:C,"WILLIAM E ESHAM JR")</f>
        <v>1</v>
      </c>
      <c r="E41" s="31">
        <f t="shared" si="1"/>
        <v>0.005155328399</v>
      </c>
    </row>
    <row r="42" ht="15.75" customHeight="1">
      <c r="A42" s="14" t="s">
        <v>113</v>
      </c>
      <c r="B42" s="14" t="s">
        <v>14</v>
      </c>
      <c r="C42" s="30">
        <f>SUMIF('AP Line Items'!C:C,"CHOPTANK ELECTRIC COOPERATIVE",'AP Line Items'!E:E)</f>
        <v>58082.02</v>
      </c>
      <c r="D42" s="14">
        <f>COUNTIF('AP Line Items'!C:C,"CHOPTANK ELECTRIC COOPERATIVE")</f>
        <v>20</v>
      </c>
      <c r="E42" s="31">
        <f t="shared" si="1"/>
        <v>0.004990531453</v>
      </c>
    </row>
    <row r="43" ht="15.75" customHeight="1">
      <c r="A43" s="14" t="s">
        <v>114</v>
      </c>
      <c r="B43" s="14" t="s">
        <v>14</v>
      </c>
      <c r="C43" s="30">
        <f>SUMIF('AP Line Items'!C:C,"I G BURTON OF BERLIN",'AP Line Items'!E:E)</f>
        <v>48183</v>
      </c>
      <c r="D43" s="14">
        <f>COUNTIF('AP Line Items'!C:C,"I G BURTON OF BERLIN")</f>
        <v>2</v>
      </c>
      <c r="E43" s="31">
        <f t="shared" si="1"/>
        <v>0.004139986471</v>
      </c>
    </row>
    <row r="44" ht="15.75" customHeight="1">
      <c r="A44" s="14" t="s">
        <v>115</v>
      </c>
      <c r="B44" s="14" t="s">
        <v>20</v>
      </c>
      <c r="C44" s="30">
        <f>SUMIF('AP Line Items'!C:C,"UNITED UTILITY SUPPLY",'AP Line Items'!E:E)</f>
        <v>47545</v>
      </c>
      <c r="D44" s="14">
        <f>COUNTIF('AP Line Items'!C:C,"UNITED UTILITY SUPPLY")</f>
        <v>2</v>
      </c>
      <c r="E44" s="31">
        <f t="shared" si="1"/>
        <v>0.004085168146</v>
      </c>
    </row>
    <row r="45" ht="15.75" customHeight="1">
      <c r="A45" s="14" t="s">
        <v>116</v>
      </c>
      <c r="B45" s="14" t="s">
        <v>20</v>
      </c>
      <c r="C45" s="30">
        <f>SUMIF('AP Line Items'!C:C,"CORE &amp; MAIN LP",'AP Line Items'!E:E)</f>
        <v>46045.29</v>
      </c>
      <c r="D45" s="14">
        <f>COUNTIF('AP Line Items'!C:C,"CORE &amp; MAIN LP")</f>
        <v>11</v>
      </c>
      <c r="E45" s="31">
        <f t="shared" si="1"/>
        <v>0.003956309853</v>
      </c>
    </row>
    <row r="46" ht="15.75" customHeight="1">
      <c r="A46" s="14" t="s">
        <v>117</v>
      </c>
      <c r="B46" s="14" t="s">
        <v>14</v>
      </c>
      <c r="C46" s="30">
        <f>SUMIF('AP Line Items'!C:C,"FERGUSON ENTERPRISES",'AP Line Items'!E:E)</f>
        <v>43584.83</v>
      </c>
      <c r="D46" s="14">
        <f>COUNTIF('AP Line Items'!C:C,"FERGUSON ENTERPRISES")</f>
        <v>12</v>
      </c>
      <c r="E46" s="31">
        <f t="shared" si="1"/>
        <v>0.003744901865</v>
      </c>
    </row>
    <row r="47" ht="15.75" customHeight="1">
      <c r="A47" s="14" t="s">
        <v>118</v>
      </c>
      <c r="B47" s="14" t="s">
        <v>14</v>
      </c>
      <c r="C47" s="30">
        <f>SUMIF('AP Line Items'!C:C,"SOUTHERN CORROSION",'AP Line Items'!E:E)</f>
        <v>43161.8</v>
      </c>
      <c r="D47" s="14">
        <f>COUNTIF('AP Line Items'!C:C,"SOUTHERN CORROSION")</f>
        <v>1</v>
      </c>
      <c r="E47" s="31">
        <f t="shared" si="1"/>
        <v>0.003708554222</v>
      </c>
    </row>
    <row r="48" ht="15.75" customHeight="1">
      <c r="A48" s="14" t="s">
        <v>119</v>
      </c>
      <c r="B48" s="14" t="s">
        <v>14</v>
      </c>
      <c r="C48" s="30">
        <f>SUMIF('AP Line Items'!C:C,"WORCESTER YOUTH &amp; FAMILY COUNSELING SERVICES",'AP Line Items'!E:E)</f>
        <v>42485.89</v>
      </c>
      <c r="D48" s="14">
        <f>COUNTIF('AP Line Items'!C:C,"WORCESTER YOUTH &amp; FAMILY COUNSELING SERVICES")</f>
        <v>6</v>
      </c>
      <c r="E48" s="31">
        <f t="shared" si="1"/>
        <v>0.003650478588</v>
      </c>
    </row>
    <row r="49" ht="15.75" customHeight="1">
      <c r="A49" s="14" t="s">
        <v>120</v>
      </c>
      <c r="B49" s="14" t="s">
        <v>14</v>
      </c>
      <c r="C49" s="30">
        <f>SUMIF('AP Line Items'!C:C,"TTI",'AP Line Items'!E:E)</f>
        <v>40229.61</v>
      </c>
      <c r="D49" s="14">
        <f>COUNTIF('AP Line Items'!C:C,"TTI")</f>
        <v>7</v>
      </c>
      <c r="E49" s="31">
        <f t="shared" si="1"/>
        <v>0.003456614182</v>
      </c>
    </row>
    <row r="50" ht="15.75" customHeight="1">
      <c r="A50" s="14" t="s">
        <v>121</v>
      </c>
      <c r="B50" s="14" t="s">
        <v>14</v>
      </c>
      <c r="C50" s="30">
        <f>SUMIF('AP Line Items'!C:C,"TERRA FIRMA",'AP Line Items'!E:E)</f>
        <v>39793</v>
      </c>
      <c r="D50" s="14">
        <f>COUNTIF('AP Line Items'!C:C,"TERRA FIRMA")</f>
        <v>7</v>
      </c>
      <c r="E50" s="31">
        <f t="shared" si="1"/>
        <v>0.003419099717</v>
      </c>
    </row>
    <row r="51" ht="15.75" customHeight="1">
      <c r="A51" s="14" t="s">
        <v>122</v>
      </c>
      <c r="B51" s="14" t="s">
        <v>20</v>
      </c>
      <c r="C51" s="30">
        <f>SUMIF('AP Line Items'!C:C,"ANIXTER POWER SOLUTIONS",'AP Line Items'!E:E)</f>
        <v>38162.33</v>
      </c>
      <c r="D51" s="14">
        <f>COUNTIF('AP Line Items'!C:C,"ANIXTER POWER SOLUTIONS")</f>
        <v>18</v>
      </c>
      <c r="E51" s="31">
        <f t="shared" si="1"/>
        <v>0.003278989061</v>
      </c>
    </row>
    <row r="52" ht="15.75" customHeight="1">
      <c r="A52" s="14" t="s">
        <v>123</v>
      </c>
      <c r="B52" s="14" t="s">
        <v>20</v>
      </c>
      <c r="C52" s="30">
        <f>SUMIF('AP Line Items'!C:C,"CAPITAL ELECTRIC SUPPLY COMPANY",'AP Line Items'!E:E)</f>
        <v>38064.46</v>
      </c>
      <c r="D52" s="14">
        <f>COUNTIF('AP Line Items'!C:C,"CAPITAL ELECTRIC SUPPLY COMPANY")</f>
        <v>11</v>
      </c>
      <c r="E52" s="31">
        <f t="shared" si="1"/>
        <v>0.003270579861</v>
      </c>
    </row>
    <row r="53" ht="15.75" customHeight="1">
      <c r="A53" s="14" t="s">
        <v>124</v>
      </c>
      <c r="B53" s="14" t="s">
        <v>14</v>
      </c>
      <c r="C53" s="30">
        <f>SUMIF('AP Line Items'!C:C,"GOODY HILL GROUND WORK",'AP Line Items'!E:E)</f>
        <v>37442.82</v>
      </c>
      <c r="D53" s="14">
        <f>COUNTIF('AP Line Items'!C:C,"GOODY HILL GROUND WORK")</f>
        <v>5</v>
      </c>
      <c r="E53" s="31">
        <f t="shared" si="1"/>
        <v>0.003217167222</v>
      </c>
    </row>
    <row r="54" ht="15.75" customHeight="1">
      <c r="A54" s="14" t="s">
        <v>125</v>
      </c>
      <c r="B54" s="14" t="s">
        <v>20</v>
      </c>
      <c r="C54" s="30">
        <f>SUMIF('AP Line Items'!C:C,"STUART C IRBY",'AP Line Items'!E:E)</f>
        <v>36231.25</v>
      </c>
      <c r="D54" s="14">
        <f>COUNTIF('AP Line Items'!C:C,"STUART C IRBY")</f>
        <v>16</v>
      </c>
      <c r="E54" s="31">
        <f t="shared" si="1"/>
        <v>0.003113066534</v>
      </c>
    </row>
    <row r="55" ht="15.75" customHeight="1">
      <c r="A55" s="14" t="s">
        <v>126</v>
      </c>
      <c r="B55" s="14" t="s">
        <v>14</v>
      </c>
      <c r="C55" s="30">
        <f>SUMIF('AP Line Items'!C:C,"BERLIN HERITAGE FOUNDATION",'AP Line Items'!E:E)</f>
        <v>35000</v>
      </c>
      <c r="D55" s="14">
        <f>COUNTIF('AP Line Items'!C:C,"BERLIN HERITAGE FOUNDATION")</f>
        <v>1</v>
      </c>
      <c r="E55" s="31">
        <f t="shared" si="1"/>
        <v>0.0030072749</v>
      </c>
    </row>
    <row r="56" ht="15.75" customHeight="1">
      <c r="A56" s="14" t="s">
        <v>127</v>
      </c>
      <c r="B56" s="14" t="s">
        <v>36</v>
      </c>
      <c r="C56" s="30">
        <f>SUMIF('AP Line Items'!C:C,"COMCAST",'AP Line Items'!E:E)</f>
        <v>34923.1</v>
      </c>
      <c r="D56" s="14">
        <f>COUNTIF('AP Line Items'!C:C,"COMCAST")</f>
        <v>29</v>
      </c>
      <c r="E56" s="31">
        <f t="shared" si="1"/>
        <v>0.003000667487</v>
      </c>
    </row>
    <row r="57" ht="15.75" customHeight="1">
      <c r="A57" s="14" t="s">
        <v>128</v>
      </c>
      <c r="B57" s="14" t="s">
        <v>22</v>
      </c>
      <c r="C57" s="30">
        <f>SUMIF('AP Line Items'!C:C,"PHYLLIS G KIMMEL LAW OFFICE PLLC",'AP Line Items'!E:E)</f>
        <v>32801.99</v>
      </c>
      <c r="D57" s="14">
        <f>COUNTIF('AP Line Items'!C:C,"PHYLLIS G KIMMEL LAW OFFICE PLLC")</f>
        <v>6</v>
      </c>
      <c r="E57" s="31">
        <f t="shared" si="1"/>
        <v>0.002818417177</v>
      </c>
    </row>
    <row r="58" ht="15.75" customHeight="1">
      <c r="A58" s="14" t="s">
        <v>129</v>
      </c>
      <c r="B58" s="14" t="s">
        <v>36</v>
      </c>
      <c r="C58" s="30">
        <f>SUMIF('AP Line Items'!C:C,"DELMARVA POWER SPORTS",'AP Line Items'!E:E)</f>
        <v>32332.19</v>
      </c>
      <c r="D58" s="14">
        <f>COUNTIF('AP Line Items'!C:C,"DELMARVA POWER SPORTS")</f>
        <v>1</v>
      </c>
      <c r="E58" s="31">
        <f t="shared" si="1"/>
        <v>0.002778050955</v>
      </c>
    </row>
    <row r="59" ht="15.75" customHeight="1">
      <c r="A59" s="14" t="s">
        <v>130</v>
      </c>
      <c r="B59" s="14" t="s">
        <v>14</v>
      </c>
      <c r="C59" s="30">
        <f>SUMIF('AP Line Items'!C:C,"SUNRISE SAFETY SERVICES",'AP Line Items'!E:E)</f>
        <v>30555.75</v>
      </c>
      <c r="D59" s="14">
        <f>COUNTIF('AP Line Items'!C:C,"SUNRISE SAFETY SERVICES")</f>
        <v>7</v>
      </c>
      <c r="E59" s="31">
        <f t="shared" si="1"/>
        <v>0.002625415429</v>
      </c>
    </row>
    <row r="60" ht="15.75" customHeight="1">
      <c r="A60" s="14" t="s">
        <v>131</v>
      </c>
      <c r="B60" s="14" t="s">
        <v>14</v>
      </c>
      <c r="C60" s="30">
        <f>SUMIF('AP Line Items'!C:C,"PYRZ WATER SUPPY",'AP Line Items'!E:E)</f>
        <v>30194.65</v>
      </c>
      <c r="D60" s="14">
        <f>COUNTIF('AP Line Items'!C:C,"PYRZ WATER SUPPY")</f>
        <v>1</v>
      </c>
      <c r="E60" s="31">
        <f t="shared" si="1"/>
        <v>0.002594388944</v>
      </c>
    </row>
    <row r="61" ht="15.75" customHeight="1">
      <c r="A61" s="14" t="s">
        <v>132</v>
      </c>
      <c r="B61" s="14" t="s">
        <v>30</v>
      </c>
      <c r="C61" s="30">
        <f>SUMIF('AP Line Items'!C:C,"1NTEGER/TECHMD/ICS",'AP Line Items'!E:E)</f>
        <v>30000</v>
      </c>
      <c r="D61" s="14">
        <f>COUNTIF('AP Line Items'!C:C,"1NTEGER/TECHMD/ICS")</f>
        <v>11</v>
      </c>
      <c r="E61" s="31">
        <f t="shared" si="1"/>
        <v>0.0025776642</v>
      </c>
    </row>
    <row r="62" ht="15.75" customHeight="1">
      <c r="A62" s="14" t="s">
        <v>133</v>
      </c>
      <c r="B62" s="14" t="s">
        <v>20</v>
      </c>
      <c r="C62" s="30">
        <f>SUMIF('AP Line Items'!C:C,"TRANSFORMER MAINTENANCE &amp; SERVICE",'AP Line Items'!E:E)</f>
        <v>29812.43</v>
      </c>
      <c r="D62" s="14">
        <f>COUNTIF('AP Line Items'!C:C,"TRANSFORMER MAINTENANCE &amp; SERVICE")</f>
        <v>2</v>
      </c>
      <c r="E62" s="31">
        <f t="shared" si="1"/>
        <v>0.002561547784</v>
      </c>
    </row>
    <row r="63" ht="15.75" customHeight="1">
      <c r="A63" s="14" t="s">
        <v>134</v>
      </c>
      <c r="B63" s="14" t="s">
        <v>26</v>
      </c>
      <c r="C63" s="30">
        <f>SUMIF('AP Line Items'!C:C,"HENLEY CONSTRUCTION",'AP Line Items'!E:E)</f>
        <v>28886.33</v>
      </c>
      <c r="D63" s="14">
        <f>COUNTIF('AP Line Items'!C:C,"HENLEY CONSTRUCTION")</f>
        <v>1</v>
      </c>
      <c r="E63" s="31">
        <f t="shared" si="1"/>
        <v>0.00248197529</v>
      </c>
    </row>
    <row r="64" ht="15.75" customHeight="1">
      <c r="A64" s="14" t="s">
        <v>135</v>
      </c>
      <c r="B64" s="14" t="s">
        <v>14</v>
      </c>
      <c r="C64" s="30">
        <f>SUMIF('AP Line Items'!C:C,"PAIGE INDUSTRIAL SERVICES",'AP Line Items'!E:E)</f>
        <v>28540.56</v>
      </c>
      <c r="D64" s="14">
        <f>COUNTIF('AP Line Items'!C:C,"PAIGE INDUSTRIAL SERVICES")</f>
        <v>2</v>
      </c>
      <c r="E64" s="31">
        <f t="shared" si="1"/>
        <v>0.002452265992</v>
      </c>
    </row>
    <row r="65" ht="15.75" customHeight="1">
      <c r="A65" s="14" t="s">
        <v>136</v>
      </c>
      <c r="B65" s="14" t="s">
        <v>14</v>
      </c>
      <c r="C65" s="30">
        <f>SUMIF('AP Line Items'!C:C,"HOME DEPOT CREDIT CARD SERVICES",'AP Line Items'!E:E)</f>
        <v>28467.75</v>
      </c>
      <c r="D65" s="14">
        <f>COUNTIF('AP Line Items'!C:C,"HOME DEPOT CREDIT CARD SERVICES")</f>
        <v>11</v>
      </c>
      <c r="E65" s="31">
        <f t="shared" si="1"/>
        <v>0.002446010001</v>
      </c>
    </row>
    <row r="66" ht="15.75" customHeight="1">
      <c r="A66" s="14" t="s">
        <v>137</v>
      </c>
      <c r="B66" s="14" t="s">
        <v>18</v>
      </c>
      <c r="C66" s="30">
        <f>SUMIF('AP Line Items'!C:C,"BURKE EQUIPMENT COMPANY",'AP Line Items'!E:E)</f>
        <v>27935.87</v>
      </c>
      <c r="D66" s="14">
        <f>COUNTIF('AP Line Items'!C:C,"BURKE EQUIPMENT COMPANY")</f>
        <v>7</v>
      </c>
      <c r="E66" s="31">
        <f t="shared" si="1"/>
        <v>0.002400309733</v>
      </c>
    </row>
    <row r="67" ht="15.75" customHeight="1">
      <c r="A67" s="14" t="s">
        <v>138</v>
      </c>
      <c r="B67" s="14" t="s">
        <v>18</v>
      </c>
      <c r="C67" s="30">
        <f>SUMIF('AP Line Items'!C:C,"ALTEC INDUSTRIES",'AP Line Items'!E:E)</f>
        <v>26793.34</v>
      </c>
      <c r="D67" s="14">
        <f>COUNTIF('AP Line Items'!C:C,"ALTEC INDUSTRIES")</f>
        <v>4</v>
      </c>
      <c r="E67" s="31">
        <f t="shared" si="1"/>
        <v>0.00230214111</v>
      </c>
    </row>
    <row r="68" ht="15.75" customHeight="1">
      <c r="A68" s="14" t="s">
        <v>139</v>
      </c>
      <c r="B68" s="14" t="s">
        <v>14</v>
      </c>
      <c r="C68" s="30">
        <f>SUMIF('AP Line Items'!C:C,"AXON ENTERPRISES",'AP Line Items'!E:E)</f>
        <v>26729.37</v>
      </c>
      <c r="D68" s="14">
        <f>COUNTIF('AP Line Items'!C:C,"AXON ENTERPRISES")</f>
        <v>5</v>
      </c>
      <c r="E68" s="31">
        <f t="shared" si="1"/>
        <v>0.002296644671</v>
      </c>
    </row>
    <row r="69" ht="15.75" customHeight="1">
      <c r="A69" s="14" t="s">
        <v>140</v>
      </c>
      <c r="B69" s="14" t="s">
        <v>16</v>
      </c>
      <c r="C69" s="30">
        <f>SUMIF('AP Line Items'!C:C,"CHESAPEAKE EMPLOYERS INSURANCE",'AP Line Items'!E:E)</f>
        <v>26658</v>
      </c>
      <c r="D69" s="14">
        <f>COUNTIF('AP Line Items'!C:C,"CHESAPEAKE EMPLOYERS INSURANCE")</f>
        <v>1</v>
      </c>
      <c r="E69" s="31">
        <f t="shared" si="1"/>
        <v>0.002290512408</v>
      </c>
    </row>
    <row r="70" ht="15.75" customHeight="1">
      <c r="A70" s="14" t="s">
        <v>141</v>
      </c>
      <c r="B70" s="14" t="s">
        <v>14</v>
      </c>
      <c r="C70" s="30">
        <f>SUMIF('AP Line Items'!C:C,"FORTILINE WATERWORKS",'AP Line Items'!E:E)</f>
        <v>25550.21</v>
      </c>
      <c r="D70" s="14">
        <f>COUNTIF('AP Line Items'!C:C,"FORTILINE WATERWORKS")</f>
        <v>7</v>
      </c>
      <c r="E70" s="31">
        <f t="shared" si="1"/>
        <v>0.00219532872</v>
      </c>
    </row>
    <row r="71" ht="15.75" customHeight="1">
      <c r="A71" s="14" t="s">
        <v>142</v>
      </c>
      <c r="B71" s="14" t="s">
        <v>36</v>
      </c>
      <c r="C71" s="30">
        <f>SUMIF('AP Line Items'!C:C,"COMCAST BUSINESS",'AP Line Items'!E:E)</f>
        <v>25086.46</v>
      </c>
      <c r="D71" s="14">
        <f>COUNTIF('AP Line Items'!C:C,"COMCAST BUSINESS")</f>
        <v>13</v>
      </c>
      <c r="E71" s="31">
        <f t="shared" si="1"/>
        <v>0.002155482328</v>
      </c>
    </row>
    <row r="72" ht="15.75" customHeight="1">
      <c r="A72" s="14" t="s">
        <v>143</v>
      </c>
      <c r="B72" s="14" t="s">
        <v>14</v>
      </c>
      <c r="C72" s="30">
        <f>SUMIF('AP Line Items'!C:C,"OLD LINE HOLDING COMPANY",'AP Line Items'!E:E)</f>
        <v>24724.49</v>
      </c>
      <c r="D72" s="14">
        <f>COUNTIF('AP Line Items'!C:C,"OLD LINE HOLDING COMPANY")</f>
        <v>3</v>
      </c>
      <c r="E72" s="31">
        <f t="shared" si="1"/>
        <v>0.002124381091</v>
      </c>
    </row>
    <row r="73" ht="15.75" customHeight="1">
      <c r="A73" s="14" t="s">
        <v>144</v>
      </c>
      <c r="B73" s="14" t="s">
        <v>18</v>
      </c>
      <c r="C73" s="30">
        <f>SUMIF('AP Line Items'!C:C,"RACETRACK AUTO CENTER",'AP Line Items'!E:E)</f>
        <v>24408.89</v>
      </c>
      <c r="D73" s="14">
        <f>COUNTIF('AP Line Items'!C:C,"RACETRACK AUTO CENTER")</f>
        <v>23</v>
      </c>
      <c r="E73" s="31">
        <f t="shared" si="1"/>
        <v>0.002097264064</v>
      </c>
    </row>
    <row r="74" ht="15.75" customHeight="1">
      <c r="A74" s="14" t="s">
        <v>145</v>
      </c>
      <c r="B74" s="14" t="s">
        <v>14</v>
      </c>
      <c r="C74" s="30">
        <f>SUMIF('AP Line Items'!C:C,"HILL'S ELECTRIC MOTOR SERVICE",'AP Line Items'!E:E)</f>
        <v>23425.33</v>
      </c>
      <c r="D74" s="14">
        <f>COUNTIF('AP Line Items'!C:C,"HILL'S ELECTRIC MOTOR SERVICE")</f>
        <v>17</v>
      </c>
      <c r="E74" s="31">
        <f t="shared" si="1"/>
        <v>0.002012754484</v>
      </c>
    </row>
    <row r="75" ht="15.75" customHeight="1">
      <c r="A75" s="14" t="s">
        <v>146</v>
      </c>
      <c r="B75" s="14" t="s">
        <v>18</v>
      </c>
      <c r="C75" s="30">
        <f>SUMIF('AP Line Items'!C:C,"FLEET MAINTENANCE",'AP Line Items'!E:E)</f>
        <v>22278.11</v>
      </c>
      <c r="D75" s="14">
        <f>COUNTIF('AP Line Items'!C:C,"FLEET MAINTENANCE")</f>
        <v>9</v>
      </c>
      <c r="E75" s="31">
        <f t="shared" si="1"/>
        <v>0.001914182886</v>
      </c>
    </row>
    <row r="76" ht="15.75" customHeight="1">
      <c r="A76" s="14" t="s">
        <v>147</v>
      </c>
      <c r="B76" s="14" t="s">
        <v>14</v>
      </c>
      <c r="C76" s="30">
        <f>SUMIF('AP Line Items'!C:C,"PUBLIC SERVICE COMMISSION",'AP Line Items'!E:E)</f>
        <v>21889.6</v>
      </c>
      <c r="D76" s="14">
        <f>COUNTIF('AP Line Items'!C:C,"PUBLIC SERVICE COMMISSION")</f>
        <v>2</v>
      </c>
      <c r="E76" s="31">
        <f t="shared" si="1"/>
        <v>0.001880801275</v>
      </c>
    </row>
    <row r="77" ht="15.75" customHeight="1">
      <c r="A77" s="14" t="s">
        <v>148</v>
      </c>
      <c r="B77" s="14" t="s">
        <v>14</v>
      </c>
      <c r="C77" s="30">
        <f>SUMIF('AP Line Items'!C:C,"PEP-UP",'AP Line Items'!E:E)</f>
        <v>21425.58</v>
      </c>
      <c r="D77" s="14">
        <f>COUNTIF('AP Line Items'!C:C,"PEP-UP")</f>
        <v>4</v>
      </c>
      <c r="E77" s="31">
        <f t="shared" si="1"/>
        <v>0.001840931684</v>
      </c>
    </row>
    <row r="78" ht="15.75" customHeight="1">
      <c r="A78" s="14" t="s">
        <v>149</v>
      </c>
      <c r="B78" s="14" t="s">
        <v>22</v>
      </c>
      <c r="C78" s="30">
        <f>SUMIF('AP Line Items'!C:C,"MEAD &amp; HUNT",'AP Line Items'!E:E)</f>
        <v>21245</v>
      </c>
      <c r="D78" s="14">
        <f>COUNTIF('AP Line Items'!C:C,"MEAD &amp; HUNT")</f>
        <v>2</v>
      </c>
      <c r="E78" s="31">
        <f t="shared" si="1"/>
        <v>0.001825415864</v>
      </c>
    </row>
    <row r="79" ht="15.75" customHeight="1">
      <c r="A79" s="14" t="s">
        <v>150</v>
      </c>
      <c r="B79" s="14" t="s">
        <v>26</v>
      </c>
      <c r="C79" s="30">
        <f>SUMIF('AP Line Items'!C:C,"ENVIROCORP",'AP Line Items'!E:E)</f>
        <v>21191</v>
      </c>
      <c r="D79" s="14">
        <f>COUNTIF('AP Line Items'!C:C,"ENVIROCORP")</f>
        <v>19</v>
      </c>
      <c r="E79" s="31">
        <f t="shared" si="1"/>
        <v>0.001820776068</v>
      </c>
    </row>
    <row r="80" ht="15.75" customHeight="1">
      <c r="A80" s="14" t="s">
        <v>151</v>
      </c>
      <c r="B80" s="14" t="s">
        <v>20</v>
      </c>
      <c r="C80" s="30">
        <f>SUMIF('AP Line Items'!C:C,"GEORGE S COYNE CHEMICAL",'AP Line Items'!E:E)</f>
        <v>20274.46</v>
      </c>
      <c r="D80" s="14">
        <f>COUNTIF('AP Line Items'!C:C,"GEORGE S COYNE CHEMICAL")</f>
        <v>3</v>
      </c>
      <c r="E80" s="31">
        <f t="shared" si="1"/>
        <v>0.00174202499</v>
      </c>
    </row>
    <row r="81" ht="15.75" customHeight="1">
      <c r="A81" s="14" t="s">
        <v>152</v>
      </c>
      <c r="B81" s="14" t="s">
        <v>18</v>
      </c>
      <c r="C81" s="30">
        <f>SUMIF('AP Line Items'!C:C,"JAMES BRADFORD FARM TRUST",'AP Line Items'!E:E)</f>
        <v>20225.01</v>
      </c>
      <c r="D81" s="14">
        <f>COUNTIF('AP Line Items'!C:C,"JAMES BRADFORD FARM TRUST")</f>
        <v>10</v>
      </c>
      <c r="E81" s="31">
        <f t="shared" si="1"/>
        <v>0.00173777614</v>
      </c>
    </row>
    <row r="82" ht="15.75" customHeight="1">
      <c r="A82" s="14" t="s">
        <v>153</v>
      </c>
      <c r="B82" s="14" t="s">
        <v>14</v>
      </c>
      <c r="C82" s="30">
        <f>SUMIF('AP Line Items'!C:C,"JESSE JONES FARM TRUST",'AP Line Items'!E:E)</f>
        <v>20225.01</v>
      </c>
      <c r="D82" s="14">
        <f>COUNTIF('AP Line Items'!C:C,"JESSE JONES FARM TRUST")</f>
        <v>10</v>
      </c>
      <c r="E82" s="31">
        <f t="shared" si="1"/>
        <v>0.00173777614</v>
      </c>
    </row>
    <row r="83" ht="15.75" customHeight="1">
      <c r="A83" s="14" t="s">
        <v>154</v>
      </c>
      <c r="B83" s="14" t="s">
        <v>14</v>
      </c>
      <c r="C83" s="30">
        <f>SUMIF('AP Line Items'!C:C,"DELL MARKETING L P",'AP Line Items'!E:E)</f>
        <v>19779</v>
      </c>
      <c r="D83" s="14">
        <f>COUNTIF('AP Line Items'!C:C,"DELL MARKETING L P")</f>
        <v>1</v>
      </c>
      <c r="E83" s="31">
        <f t="shared" si="1"/>
        <v>0.001699454007</v>
      </c>
    </row>
    <row r="84" ht="15.75" customHeight="1">
      <c r="A84" s="14" t="s">
        <v>155</v>
      </c>
      <c r="B84" s="14" t="s">
        <v>14</v>
      </c>
      <c r="C84" s="30">
        <f>SUMIF('AP Line Items'!C:C,"ISLAND TECH SERVICES",'AP Line Items'!E:E)</f>
        <v>19240</v>
      </c>
      <c r="D84" s="14">
        <f>COUNTIF('AP Line Items'!C:C,"ISLAND TECH SERVICES")</f>
        <v>5</v>
      </c>
      <c r="E84" s="31">
        <f t="shared" si="1"/>
        <v>0.001653141973</v>
      </c>
    </row>
    <row r="85" ht="15.75" customHeight="1">
      <c r="A85" s="14" t="s">
        <v>156</v>
      </c>
      <c r="B85" s="14" t="s">
        <v>26</v>
      </c>
      <c r="C85" s="30">
        <f>SUMIF('AP Line Items'!C:C,"SOMERSET WELL DRILLING",'AP Line Items'!E:E)</f>
        <v>18985</v>
      </c>
      <c r="D85" s="14">
        <f>COUNTIF('AP Line Items'!C:C,"SOMERSET WELL DRILLING")</f>
        <v>1</v>
      </c>
      <c r="E85" s="31">
        <f t="shared" si="1"/>
        <v>0.001631231828</v>
      </c>
    </row>
    <row r="86" ht="15.75" customHeight="1">
      <c r="A86" s="14" t="s">
        <v>157</v>
      </c>
      <c r="B86" s="14" t="s">
        <v>14</v>
      </c>
      <c r="C86" s="30">
        <f>SUMIF('AP Line Items'!C:C,"INTERCOASTAL TRADING",'AP Line Items'!E:E)</f>
        <v>18857.12</v>
      </c>
      <c r="D86" s="14">
        <f>COUNTIF('AP Line Items'!C:C,"INTERCOASTAL TRADING")</f>
        <v>2</v>
      </c>
      <c r="E86" s="31">
        <f t="shared" si="1"/>
        <v>0.001620244104</v>
      </c>
    </row>
    <row r="87" ht="15.75" customHeight="1">
      <c r="A87" s="14" t="s">
        <v>158</v>
      </c>
      <c r="B87" s="14" t="s">
        <v>14</v>
      </c>
      <c r="C87" s="30">
        <f>SUMIF('AP Line Items'!C:C,"HACH COMPANY",'AP Line Items'!E:E)</f>
        <v>18546.64</v>
      </c>
      <c r="D87" s="14">
        <f>COUNTIF('AP Line Items'!C:C,"HACH COMPANY")</f>
        <v>1</v>
      </c>
      <c r="E87" s="31">
        <f t="shared" si="1"/>
        <v>0.001593566998</v>
      </c>
    </row>
    <row r="88" ht="15.75" customHeight="1">
      <c r="A88" s="14" t="s">
        <v>159</v>
      </c>
      <c r="B88" s="14" t="s">
        <v>14</v>
      </c>
      <c r="C88" s="30">
        <f>SUMIF('AP Line Items'!C:C,"TUCKAHOE UNDERGROUND",'AP Line Items'!E:E)</f>
        <v>18490</v>
      </c>
      <c r="D88" s="14">
        <f>COUNTIF('AP Line Items'!C:C,"TUCKAHOE UNDERGROUND")</f>
        <v>2</v>
      </c>
      <c r="E88" s="31">
        <f t="shared" si="1"/>
        <v>0.001588700368</v>
      </c>
    </row>
    <row r="89" ht="15.75" customHeight="1">
      <c r="A89" s="14" t="s">
        <v>160</v>
      </c>
      <c r="B89" s="14" t="s">
        <v>14</v>
      </c>
      <c r="C89" s="30">
        <f>SUMIF('AP Line Items'!C:C,"METRO RECREATION",'AP Line Items'!E:E)</f>
        <v>18451.82</v>
      </c>
      <c r="D89" s="14">
        <f>COUNTIF('AP Line Items'!C:C,"METRO RECREATION")</f>
        <v>1</v>
      </c>
      <c r="E89" s="31">
        <f t="shared" si="1"/>
        <v>0.001585419861</v>
      </c>
    </row>
    <row r="90" ht="15.75" customHeight="1">
      <c r="A90" s="14" t="s">
        <v>161</v>
      </c>
      <c r="B90" s="14" t="s">
        <v>38</v>
      </c>
      <c r="C90" s="30">
        <f>SUMIF('AP Line Items'!C:C,"UNIFIRST",'AP Line Items'!E:E)</f>
        <v>18258.22</v>
      </c>
      <c r="D90" s="14">
        <f>COUNTIF('AP Line Items'!C:C,"UNIFIRST")</f>
        <v>34</v>
      </c>
      <c r="E90" s="31">
        <f t="shared" si="1"/>
        <v>0.001568785335</v>
      </c>
    </row>
    <row r="91" ht="15.75" customHeight="1">
      <c r="A91" s="14" t="s">
        <v>162</v>
      </c>
      <c r="B91" s="14" t="s">
        <v>14</v>
      </c>
      <c r="C91" s="30">
        <f>SUMIF('AP Line Items'!C:C,"SFS TOOLS AND SAFETY",'AP Line Items'!E:E)</f>
        <v>17107.54</v>
      </c>
      <c r="D91" s="14">
        <f>COUNTIF('AP Line Items'!C:C,"SFS TOOLS AND SAFETY")</f>
        <v>10</v>
      </c>
      <c r="E91" s="31">
        <f t="shared" si="1"/>
        <v>0.001469916447</v>
      </c>
    </row>
    <row r="92" ht="15.75" customHeight="1">
      <c r="A92" s="14" t="s">
        <v>163</v>
      </c>
      <c r="B92" s="14" t="s">
        <v>14</v>
      </c>
      <c r="C92" s="30">
        <f>SUMIF('AP Line Items'!C:C,"USA BLUEBOOK",'AP Line Items'!E:E)</f>
        <v>16721.63</v>
      </c>
      <c r="D92" s="14">
        <f>COUNTIF('AP Line Items'!C:C,"USA BLUEBOOK")</f>
        <v>15</v>
      </c>
      <c r="E92" s="31">
        <f t="shared" si="1"/>
        <v>0.001436758234</v>
      </c>
    </row>
    <row r="93" ht="15.75" customHeight="1">
      <c r="A93" s="14" t="s">
        <v>164</v>
      </c>
      <c r="B93" s="14" t="s">
        <v>14</v>
      </c>
      <c r="C93" s="30">
        <f>SUMIF('AP Line Items'!C:C,"UNITED STATES POSTAL SERVICE",'AP Line Items'!E:E)</f>
        <v>15350</v>
      </c>
      <c r="D93" s="14">
        <f>COUNTIF('AP Line Items'!C:C,"UNITED STATES POSTAL SERVICE")</f>
        <v>4</v>
      </c>
      <c r="E93" s="31">
        <f t="shared" si="1"/>
        <v>0.001318904849</v>
      </c>
    </row>
    <row r="94" ht="15.75" customHeight="1">
      <c r="A94" s="14" t="s">
        <v>165</v>
      </c>
      <c r="B94" s="14" t="s">
        <v>14</v>
      </c>
      <c r="C94" s="30">
        <f>SUMIF('AP Line Items'!C:C,"MONTROSE AIR QUALITY SERVICES LLS",'AP Line Items'!E:E)</f>
        <v>14930</v>
      </c>
      <c r="D94" s="14">
        <f>COUNTIF('AP Line Items'!C:C,"MONTROSE AIR QUALITY SERVICES LLS")</f>
        <v>2</v>
      </c>
      <c r="E94" s="31">
        <f t="shared" si="1"/>
        <v>0.00128281755</v>
      </c>
    </row>
    <row r="95" ht="15.75" customHeight="1">
      <c r="A95" s="14" t="s">
        <v>166</v>
      </c>
      <c r="B95" s="14" t="s">
        <v>14</v>
      </c>
      <c r="C95" s="30">
        <f>SUMIF('AP Line Items'!C:C,"MARYLAND DEPT OF ASSESSMENTS &amp; TAXATION",'AP Line Items'!E:E)</f>
        <v>14307.78</v>
      </c>
      <c r="D95" s="14">
        <f>COUNTIF('AP Line Items'!C:C,"MARYLAND DEPT OF ASSESSMENTS &amp; TAXATION")</f>
        <v>2</v>
      </c>
      <c r="E95" s="31">
        <f t="shared" si="1"/>
        <v>0.001229355076</v>
      </c>
    </row>
    <row r="96" ht="15.75" customHeight="1">
      <c r="A96" s="14" t="s">
        <v>167</v>
      </c>
      <c r="B96" s="14" t="s">
        <v>26</v>
      </c>
      <c r="C96" s="30">
        <f>SUMIF('AP Line Items'!C:C,"BEARING CONSTRUCTION",'AP Line Items'!E:E)</f>
        <v>13878.13</v>
      </c>
      <c r="D96" s="14">
        <f>COUNTIF('AP Line Items'!C:C,"BEARING CONSTRUCTION")</f>
        <v>1</v>
      </c>
      <c r="E96" s="31">
        <f t="shared" si="1"/>
        <v>0.001192438629</v>
      </c>
    </row>
    <row r="97" ht="15.75" customHeight="1">
      <c r="A97" s="14" t="s">
        <v>168</v>
      </c>
      <c r="B97" s="14" t="s">
        <v>14</v>
      </c>
      <c r="C97" s="30">
        <f>SUMIF('AP Line Items'!C:C,"NOYES MICROSYSTEMS",'AP Line Items'!E:E)</f>
        <v>13854</v>
      </c>
      <c r="D97" s="14">
        <f>COUNTIF('AP Line Items'!C:C,"NOYES MICROSYSTEMS")</f>
        <v>4</v>
      </c>
      <c r="E97" s="31">
        <f t="shared" si="1"/>
        <v>0.001190365327</v>
      </c>
    </row>
    <row r="98" ht="15.75" customHeight="1">
      <c r="A98" s="14" t="s">
        <v>169</v>
      </c>
      <c r="B98" s="14" t="s">
        <v>14</v>
      </c>
      <c r="C98" s="30">
        <f>SUMIF('AP Line Items'!C:C,"DEPARTMENT OF ASSESSMENTS AND TAXATION",'AP Line Items'!E:E)</f>
        <v>13659.88</v>
      </c>
      <c r="D98" s="14">
        <f>COUNTIF('AP Line Items'!C:C,"DEPARTMENT OF ASSESSMENTS AND TAXATION")</f>
        <v>1</v>
      </c>
      <c r="E98" s="31">
        <f t="shared" si="1"/>
        <v>0.001173686122</v>
      </c>
    </row>
    <row r="99" ht="15.75" customHeight="1">
      <c r="A99" s="14" t="s">
        <v>170</v>
      </c>
      <c r="B99" s="14" t="s">
        <v>14</v>
      </c>
      <c r="C99" s="30">
        <f>SUMIF('AP Line Items'!C:C,"WATER TESTING LABS",'AP Line Items'!E:E)</f>
        <v>13649</v>
      </c>
      <c r="D99" s="14">
        <f>COUNTIF('AP Line Items'!C:C,"WATER TESTING LABS")</f>
        <v>5</v>
      </c>
      <c r="E99" s="31">
        <f t="shared" si="1"/>
        <v>0.001172751289</v>
      </c>
    </row>
    <row r="100" ht="15.75" customHeight="1">
      <c r="A100" s="14" t="s">
        <v>171</v>
      </c>
      <c r="B100" s="14" t="s">
        <v>14</v>
      </c>
      <c r="C100" s="30">
        <f>SUMIF('AP Line Items'!C:C,"HEATHER KISER",'AP Line Items'!E:E)</f>
        <v>13265</v>
      </c>
      <c r="D100" s="14">
        <f>COUNTIF('AP Line Items'!C:C,"HEATHER KISER")</f>
        <v>2</v>
      </c>
      <c r="E100" s="31">
        <f t="shared" si="1"/>
        <v>0.001139757187</v>
      </c>
    </row>
    <row r="101" ht="15.75" customHeight="1">
      <c r="A101" s="14" t="s">
        <v>172</v>
      </c>
      <c r="B101" s="14" t="s">
        <v>14</v>
      </c>
      <c r="C101" s="30">
        <f>SUMIF('AP Line Items'!C:C,"ZY PYROTECHNICS",'AP Line Items'!E:E)</f>
        <v>12750</v>
      </c>
      <c r="D101" s="14">
        <f>COUNTIF('AP Line Items'!C:C,"ZY PYROTECHNICS")</f>
        <v>2</v>
      </c>
      <c r="E101" s="31">
        <f t="shared" si="1"/>
        <v>0.001095507285</v>
      </c>
    </row>
    <row r="102" ht="15.75" customHeight="1">
      <c r="A102" s="14" t="s">
        <v>173</v>
      </c>
      <c r="B102" s="14" t="s">
        <v>14</v>
      </c>
      <c r="C102" s="30">
        <f>SUMIF('AP Line Items'!C:C,"GLOBAL RENTAL",'AP Line Items'!E:E)</f>
        <v>12512</v>
      </c>
      <c r="D102" s="14">
        <f>COUNTIF('AP Line Items'!C:C,"GLOBAL RENTAL")</f>
        <v>4</v>
      </c>
      <c r="E102" s="31">
        <f t="shared" si="1"/>
        <v>0.001075057816</v>
      </c>
    </row>
    <row r="103" ht="15.75" customHeight="1">
      <c r="A103" s="14" t="s">
        <v>174</v>
      </c>
      <c r="B103" s="14" t="s">
        <v>22</v>
      </c>
      <c r="C103" s="30">
        <f>SUMIF('AP Line Items'!C:C,"HAUN ENVIRONMENTAL CONSULTING",'AP Line Items'!E:E)</f>
        <v>12150</v>
      </c>
      <c r="D103" s="14">
        <f>COUNTIF('AP Line Items'!C:C,"HAUN ENVIRONMENTAL CONSULTING")</f>
        <v>3</v>
      </c>
      <c r="E103" s="31">
        <f t="shared" si="1"/>
        <v>0.001043954001</v>
      </c>
    </row>
    <row r="104" ht="15.75" customHeight="1">
      <c r="A104" s="14" t="s">
        <v>175</v>
      </c>
      <c r="B104" s="14" t="s">
        <v>14</v>
      </c>
      <c r="C104" s="30">
        <f>SUMIF('AP Line Items'!C:C,"GRAVES TREE SERVICES",'AP Line Items'!E:E)</f>
        <v>12000</v>
      </c>
      <c r="D104" s="14">
        <f>COUNTIF('AP Line Items'!C:C,"GRAVES TREE SERVICES")</f>
        <v>4</v>
      </c>
      <c r="E104" s="31">
        <f t="shared" si="1"/>
        <v>0.00103106568</v>
      </c>
    </row>
    <row r="105" ht="15.75" customHeight="1">
      <c r="A105" s="14" t="s">
        <v>176</v>
      </c>
      <c r="B105" s="14" t="s">
        <v>14</v>
      </c>
      <c r="C105" s="30">
        <f>SUMIF('AP Line Items'!C:C,"DSLRPROS",'AP Line Items'!E:E)</f>
        <v>11899</v>
      </c>
      <c r="D105" s="14">
        <f>COUNTIF('AP Line Items'!C:C,"DSLRPROS")</f>
        <v>1</v>
      </c>
      <c r="E105" s="31">
        <f t="shared" si="1"/>
        <v>0.001022387544</v>
      </c>
    </row>
    <row r="106" ht="15.75" customHeight="1">
      <c r="A106" s="14" t="s">
        <v>177</v>
      </c>
      <c r="B106" s="14" t="s">
        <v>14</v>
      </c>
      <c r="C106" s="30">
        <f>SUMIF('AP Line Items'!C:C,"CODY COMPUTER SERVICES",'AP Line Items'!E:E)</f>
        <v>11755.16</v>
      </c>
      <c r="D106" s="14">
        <f>COUNTIF('AP Line Items'!C:C,"CODY COMPUTER SERVICES")</f>
        <v>3</v>
      </c>
      <c r="E106" s="31">
        <f t="shared" si="1"/>
        <v>0.001010028503</v>
      </c>
    </row>
    <row r="107" ht="15.75" customHeight="1">
      <c r="A107" s="14" t="s">
        <v>178</v>
      </c>
      <c r="B107" s="14" t="s">
        <v>14</v>
      </c>
      <c r="C107" s="30">
        <f>SUMIF('AP Line Items'!C:C,"HARVEST TECHNOLOGY",'AP Line Items'!E:E)</f>
        <v>11714.21</v>
      </c>
      <c r="D107" s="14">
        <f>COUNTIF('AP Line Items'!C:C,"HARVEST TECHNOLOGY")</f>
        <v>1</v>
      </c>
      <c r="E107" s="31">
        <f t="shared" si="1"/>
        <v>0.001006509991</v>
      </c>
    </row>
    <row r="108" ht="15.75" customHeight="1">
      <c r="A108" s="14" t="s">
        <v>179</v>
      </c>
      <c r="B108" s="14" t="s">
        <v>14</v>
      </c>
      <c r="C108" s="30">
        <f>SUMIF('AP Line Items'!C:C,"UNITED ENERGY TRADING",'AP Line Items'!E:E)</f>
        <v>11690.9</v>
      </c>
      <c r="D108" s="14">
        <f>COUNTIF('AP Line Items'!C:C,"UNITED ENERGY TRADING")</f>
        <v>13</v>
      </c>
      <c r="E108" s="31">
        <f t="shared" si="1"/>
        <v>0.001004507146</v>
      </c>
    </row>
    <row r="109" ht="15.75" customHeight="1">
      <c r="A109" s="14" t="s">
        <v>180</v>
      </c>
      <c r="B109" s="14" t="s">
        <v>36</v>
      </c>
      <c r="C109" s="30">
        <f>SUMIF('AP Line Items'!C:C,"VERIZON-000014448231",'AP Line Items'!E:E)</f>
        <v>11550.13</v>
      </c>
      <c r="D109" s="14">
        <f>COUNTIF('AP Line Items'!C:C,"VERIZON-000014448231")</f>
        <v>13</v>
      </c>
      <c r="E109" s="31">
        <f t="shared" si="1"/>
        <v>0.0009924118867</v>
      </c>
    </row>
    <row r="110" ht="15.75" customHeight="1">
      <c r="A110" s="14" t="s">
        <v>181</v>
      </c>
      <c r="B110" s="14" t="s">
        <v>14</v>
      </c>
      <c r="C110" s="30">
        <f>SUMIF('AP Line Items'!C:C,"ICE CONCEPTS",'AP Line Items'!E:E)</f>
        <v>11440</v>
      </c>
      <c r="D110" s="14">
        <f>COUNTIF('AP Line Items'!C:C,"ICE CONCEPTS")</f>
        <v>1</v>
      </c>
      <c r="E110" s="31">
        <f t="shared" si="1"/>
        <v>0.0009829492815</v>
      </c>
    </row>
    <row r="111" ht="15.75" customHeight="1">
      <c r="A111" s="14" t="s">
        <v>182</v>
      </c>
      <c r="B111" s="14" t="s">
        <v>14</v>
      </c>
      <c r="C111" s="30">
        <f>SUMIF('AP Line Items'!C:C,"AERIAL CRANE",'AP Line Items'!E:E)</f>
        <v>11410</v>
      </c>
      <c r="D111" s="14">
        <f>COUNTIF('AP Line Items'!C:C,"AERIAL CRANE")</f>
        <v>4</v>
      </c>
      <c r="E111" s="31">
        <f t="shared" si="1"/>
        <v>0.0009803716173</v>
      </c>
    </row>
    <row r="112" ht="15.75" customHeight="1">
      <c r="A112" s="14" t="s">
        <v>183</v>
      </c>
      <c r="B112" s="14" t="s">
        <v>16</v>
      </c>
      <c r="C112" s="30">
        <f>SUMIF('AP Line Items'!C:C,"AFLAC",'AP Line Items'!E:E)</f>
        <v>11155.77</v>
      </c>
      <c r="D112" s="14">
        <f>COUNTIF('AP Line Items'!C:C,"AFLAC")</f>
        <v>11</v>
      </c>
      <c r="E112" s="31">
        <f t="shared" si="1"/>
        <v>0.0009585276316</v>
      </c>
    </row>
    <row r="113" ht="15.75" customHeight="1">
      <c r="A113" s="14" t="s">
        <v>184</v>
      </c>
      <c r="B113" s="14" t="s">
        <v>30</v>
      </c>
      <c r="C113" s="30">
        <f>SUMIF('AP Line Items'!C:C,"QUADIENT FINANCE USA",'AP Line Items'!E:E)</f>
        <v>11127.37</v>
      </c>
      <c r="D113" s="14">
        <f>COUNTIF('AP Line Items'!C:C,"QUADIENT FINANCE USA")</f>
        <v>7</v>
      </c>
      <c r="E113" s="31">
        <f t="shared" si="1"/>
        <v>0.0009560874428</v>
      </c>
    </row>
    <row r="114" ht="15.75" customHeight="1">
      <c r="A114" s="14" t="s">
        <v>185</v>
      </c>
      <c r="B114" s="14" t="s">
        <v>14</v>
      </c>
      <c r="C114" s="30">
        <f>SUMIF('AP Line Items'!C:C,"UNIVAR SOLUTIONS USA",'AP Line Items'!E:E)</f>
        <v>11115.85</v>
      </c>
      <c r="D114" s="14">
        <f>COUNTIF('AP Line Items'!C:C,"UNIVAR SOLUTIONS USA")</f>
        <v>1</v>
      </c>
      <c r="E114" s="31">
        <f t="shared" si="1"/>
        <v>0.0009550976198</v>
      </c>
    </row>
    <row r="115" ht="15.75" customHeight="1">
      <c r="A115" s="14" t="s">
        <v>186</v>
      </c>
      <c r="B115" s="14" t="s">
        <v>18</v>
      </c>
      <c r="C115" s="30">
        <f>SUMIF('AP Line Items'!C:C,"NAPA AUTO PARTS",'AP Line Items'!E:E)</f>
        <v>11080.37</v>
      </c>
      <c r="D115" s="14">
        <f>COUNTIF('AP Line Items'!C:C,"NAPA AUTO PARTS")</f>
        <v>20</v>
      </c>
      <c r="E115" s="31">
        <f t="shared" si="1"/>
        <v>0.0009520491023</v>
      </c>
    </row>
    <row r="116" ht="15.75" customHeight="1">
      <c r="A116" s="14" t="s">
        <v>187</v>
      </c>
      <c r="B116" s="14" t="s">
        <v>14</v>
      </c>
      <c r="C116" s="30">
        <f>SUMIF('AP Line Items'!C:C,"SEAL TECH ENTERPRISES",'AP Line Items'!E:E)</f>
        <v>11080</v>
      </c>
      <c r="D116" s="14">
        <f>COUNTIF('AP Line Items'!C:C,"SEAL TECH ENTERPRISES")</f>
        <v>1</v>
      </c>
      <c r="E116" s="31">
        <f t="shared" si="1"/>
        <v>0.0009520173111</v>
      </c>
    </row>
    <row r="117" ht="15.75" customHeight="1">
      <c r="A117" s="14" t="s">
        <v>188</v>
      </c>
      <c r="B117" s="14" t="s">
        <v>14</v>
      </c>
      <c r="C117" s="30">
        <f>SUMIF('AP Line Items'!C:C,"EKM LAW PLLC",'AP Line Items'!E:E)</f>
        <v>10637.5</v>
      </c>
      <c r="D117" s="14">
        <f>COUNTIF('AP Line Items'!C:C,"EKM LAW PLLC")</f>
        <v>3</v>
      </c>
      <c r="E117" s="31">
        <f t="shared" si="1"/>
        <v>0.0009139967641</v>
      </c>
    </row>
    <row r="118" ht="15.75" customHeight="1">
      <c r="A118" s="14" t="s">
        <v>189</v>
      </c>
      <c r="B118" s="14" t="s">
        <v>14</v>
      </c>
      <c r="C118" s="30">
        <f>SUMIF('AP Line Items'!C:C,"RICHARD D BALDWIN",'AP Line Items'!E:E)</f>
        <v>10590</v>
      </c>
      <c r="D118" s="14">
        <f>COUNTIF('AP Line Items'!C:C,"RICHARD D BALDWIN")</f>
        <v>6</v>
      </c>
      <c r="E118" s="31">
        <f t="shared" si="1"/>
        <v>0.0009099154625</v>
      </c>
    </row>
    <row r="119" ht="15.75" customHeight="1">
      <c r="A119" s="14" t="s">
        <v>190</v>
      </c>
      <c r="B119" s="14" t="s">
        <v>40</v>
      </c>
      <c r="C119" s="30">
        <f>SUMIF('AP Line Items'!C:C,"STAPLES BUSINESS CREDIT",'AP Line Items'!E:E)</f>
        <v>10440.08</v>
      </c>
      <c r="D119" s="14">
        <f>COUNTIF('AP Line Items'!C:C,"STAPLES BUSINESS CREDIT")</f>
        <v>12</v>
      </c>
      <c r="E119" s="31">
        <f t="shared" si="1"/>
        <v>0.0008970340152</v>
      </c>
    </row>
    <row r="120" ht="15.75" customHeight="1">
      <c r="A120" s="14" t="s">
        <v>191</v>
      </c>
      <c r="B120" s="14" t="s">
        <v>14</v>
      </c>
      <c r="C120" s="30">
        <f>SUMIF('AP Line Items'!C:C,"MIDDLE DEPARTMENT INSPECTION AGENCY",'AP Line Items'!E:E)</f>
        <v>10405.97</v>
      </c>
      <c r="D120" s="14">
        <f>COUNTIF('AP Line Items'!C:C,"MIDDLE DEPARTMENT INSPECTION AGENCY")</f>
        <v>16</v>
      </c>
      <c r="E120" s="31">
        <f t="shared" si="1"/>
        <v>0.000894103211</v>
      </c>
    </row>
    <row r="121" ht="15.75" customHeight="1">
      <c r="A121" s="14" t="s">
        <v>192</v>
      </c>
      <c r="B121" s="14" t="s">
        <v>14</v>
      </c>
      <c r="C121" s="30">
        <f>SUMIF('AP Line Items'!C:C,"BRIAN WROTEN",'AP Line Items'!E:E)</f>
        <v>10267.77</v>
      </c>
      <c r="D121" s="14">
        <f>COUNTIF('AP Line Items'!C:C,"BRIAN WROTEN")</f>
        <v>4</v>
      </c>
      <c r="E121" s="31">
        <f t="shared" si="1"/>
        <v>0.0008822287713</v>
      </c>
    </row>
    <row r="122" ht="15.75" customHeight="1">
      <c r="A122" s="14" t="s">
        <v>193</v>
      </c>
      <c r="B122" s="14" t="s">
        <v>14</v>
      </c>
      <c r="C122" s="30">
        <f>SUMIF('AP Line Items'!C:C,"DECATUR INVESTMENTS",'AP Line Items'!E:E)</f>
        <v>10000</v>
      </c>
      <c r="D122" s="14">
        <f>COUNTIF('AP Line Items'!C:C,"DECATUR INVESTMENTS")</f>
        <v>1</v>
      </c>
      <c r="E122" s="31">
        <f t="shared" si="1"/>
        <v>0.0008592213999</v>
      </c>
    </row>
    <row r="123" ht="15.75" customHeight="1">
      <c r="A123" s="14" t="s">
        <v>194</v>
      </c>
      <c r="B123" s="14" t="s">
        <v>14</v>
      </c>
      <c r="C123" s="30">
        <f>SUMIF('AP Line Items'!C:C,"ATLANTIC HOTEL",'AP Line Items'!E:E)</f>
        <v>10000</v>
      </c>
      <c r="D123" s="14">
        <f>COUNTIF('AP Line Items'!C:C,"ATLANTIC HOTEL")</f>
        <v>1</v>
      </c>
      <c r="E123" s="31">
        <f t="shared" si="1"/>
        <v>0.0008592213999</v>
      </c>
    </row>
    <row r="124" ht="15.75" customHeight="1">
      <c r="A124" s="14" t="s">
        <v>195</v>
      </c>
      <c r="B124" s="14" t="s">
        <v>14</v>
      </c>
      <c r="C124" s="30">
        <f>SUMIF('AP Line Items'!C:C,"CAFE BERLIN",'AP Line Items'!E:E)</f>
        <v>9959</v>
      </c>
      <c r="D124" s="14">
        <f>COUNTIF('AP Line Items'!C:C,"CAFE BERLIN")</f>
        <v>1</v>
      </c>
      <c r="E124" s="31">
        <f t="shared" si="1"/>
        <v>0.0008556985921</v>
      </c>
    </row>
    <row r="125" ht="15.75" customHeight="1">
      <c r="A125" s="14" t="s">
        <v>196</v>
      </c>
      <c r="B125" s="14" t="s">
        <v>30</v>
      </c>
      <c r="C125" s="30">
        <f>SUMIF('AP Line Items'!C:C,"GREAT AMERICA FINANCIAL",'AP Line Items'!E:E)</f>
        <v>9853.51</v>
      </c>
      <c r="D125" s="14">
        <f>COUNTIF('AP Line Items'!C:C,"GREAT AMERICA FINANCIAL")</f>
        <v>27</v>
      </c>
      <c r="E125" s="31">
        <f t="shared" si="1"/>
        <v>0.0008466346656</v>
      </c>
    </row>
    <row r="126" ht="15.75" customHeight="1">
      <c r="A126" s="14" t="s">
        <v>197</v>
      </c>
      <c r="B126" s="14" t="s">
        <v>14</v>
      </c>
      <c r="C126" s="30">
        <f>SUMIF('AP Line Items'!C:C,"RICKY JARMON",'AP Line Items'!E:E)</f>
        <v>9801.17</v>
      </c>
      <c r="D126" s="14">
        <f>COUNTIF('AP Line Items'!C:C,"RICKY JARMON")</f>
        <v>11</v>
      </c>
      <c r="E126" s="31">
        <f t="shared" si="1"/>
        <v>0.0008421375008</v>
      </c>
    </row>
    <row r="127" ht="15.75" customHeight="1">
      <c r="A127" s="14" t="s">
        <v>198</v>
      </c>
      <c r="B127" s="14" t="s">
        <v>14</v>
      </c>
      <c r="C127" s="30">
        <f>SUMIF('AP Line Items'!C:C,"NITV FEDERAL SERVICES",'AP Line Items'!E:E)</f>
        <v>9785</v>
      </c>
      <c r="D127" s="14">
        <f>COUNTIF('AP Line Items'!C:C,"NITV FEDERAL SERVICES")</f>
        <v>1</v>
      </c>
      <c r="E127" s="31">
        <f t="shared" si="1"/>
        <v>0.0008407481398</v>
      </c>
    </row>
    <row r="128" ht="15.75" customHeight="1">
      <c r="A128" s="14" t="s">
        <v>199</v>
      </c>
      <c r="B128" s="14" t="s">
        <v>14</v>
      </c>
      <c r="C128" s="30">
        <f>SUMIF('AP Line Items'!C:C,"APPLIED CONCEPTS",'AP Line Items'!E:E)</f>
        <v>9770</v>
      </c>
      <c r="D128" s="14">
        <f>COUNTIF('AP Line Items'!C:C,"APPLIED CONCEPTS")</f>
        <v>2</v>
      </c>
      <c r="E128" s="31">
        <f t="shared" si="1"/>
        <v>0.0008394593077</v>
      </c>
    </row>
    <row r="129" ht="15.75" customHeight="1">
      <c r="A129" s="14" t="s">
        <v>200</v>
      </c>
      <c r="B129" s="14" t="s">
        <v>14</v>
      </c>
      <c r="C129" s="30">
        <f>SUMIF('AP Line Items'!C:C,"SCARBOROUGH OIL",'AP Line Items'!E:E)</f>
        <v>9571.95</v>
      </c>
      <c r="D129" s="14">
        <f>COUNTIF('AP Line Items'!C:C,"SCARBOROUGH OIL")</f>
        <v>6</v>
      </c>
      <c r="E129" s="31">
        <f t="shared" si="1"/>
        <v>0.0008224424279</v>
      </c>
    </row>
    <row r="130" ht="15.75" customHeight="1">
      <c r="A130" s="14" t="s">
        <v>201</v>
      </c>
      <c r="B130" s="14" t="s">
        <v>14</v>
      </c>
      <c r="C130" s="30">
        <f>SUMIF('AP Line Items'!C:C,"MD DEPARTMENT OF AGRICULTURE",'AP Line Items'!E:E)</f>
        <v>9239.27</v>
      </c>
      <c r="D130" s="14">
        <f>COUNTIF('AP Line Items'!C:C,"MD DEPARTMENT OF AGRICULTURE")</f>
        <v>2</v>
      </c>
      <c r="E130" s="31">
        <f t="shared" si="1"/>
        <v>0.0007938578503</v>
      </c>
    </row>
    <row r="131" ht="15.75" customHeight="1">
      <c r="A131" s="14" t="s">
        <v>202</v>
      </c>
      <c r="B131" s="14" t="s">
        <v>14</v>
      </c>
      <c r="C131" s="30">
        <f>SUMIF('AP Line Items'!C:C,"AERZEN USA",'AP Line Items'!E:E)</f>
        <v>9065.83</v>
      </c>
      <c r="D131" s="14">
        <f>COUNTIF('AP Line Items'!C:C,"AERZEN USA")</f>
        <v>2</v>
      </c>
      <c r="E131" s="31">
        <f t="shared" si="1"/>
        <v>0.0007789555144</v>
      </c>
    </row>
    <row r="132" ht="15.75" customHeight="1">
      <c r="A132" s="14" t="s">
        <v>203</v>
      </c>
      <c r="B132" s="14" t="s">
        <v>14</v>
      </c>
      <c r="C132" s="30">
        <f>SUMIF('AP Line Items'!C:C,"BEHIND THE LINE",'AP Line Items'!E:E)</f>
        <v>9000</v>
      </c>
      <c r="D132" s="14">
        <f>COUNTIF('AP Line Items'!C:C,"BEHIND THE LINE")</f>
        <v>1</v>
      </c>
      <c r="E132" s="31">
        <f t="shared" si="1"/>
        <v>0.0007732992599</v>
      </c>
    </row>
    <row r="133" ht="15.75" customHeight="1">
      <c r="A133" s="14" t="s">
        <v>204</v>
      </c>
      <c r="B133" s="14" t="s">
        <v>14</v>
      </c>
      <c r="C133" s="30">
        <f>SUMIF('AP Line Items'!C:C,"GENERAL REFRIGERATION",'AP Line Items'!E:E)</f>
        <v>8705.84</v>
      </c>
      <c r="D133" s="14">
        <f>COUNTIF('AP Line Items'!C:C,"GENERAL REFRIGERATION")</f>
        <v>2</v>
      </c>
      <c r="E133" s="31">
        <f t="shared" si="1"/>
        <v>0.0007480244032</v>
      </c>
    </row>
    <row r="134" ht="15.75" customHeight="1">
      <c r="A134" s="14" t="s">
        <v>205</v>
      </c>
      <c r="B134" s="14" t="s">
        <v>14</v>
      </c>
      <c r="C134" s="30">
        <f>SUMIF('AP Line Items'!C:C,"VA MD &amp; DE ASSOC OF ELECTRIC COOPERATIVES",'AP Line Items'!E:E)</f>
        <v>8400</v>
      </c>
      <c r="D134" s="14">
        <f>COUNTIF('AP Line Items'!C:C,"VA MD &amp; DE ASSOC OF ELECTRIC COOPERATIVES")</f>
        <v>4</v>
      </c>
      <c r="E134" s="31">
        <f t="shared" si="1"/>
        <v>0.0007217459759</v>
      </c>
    </row>
    <row r="135" ht="15.75" customHeight="1">
      <c r="A135" s="14" t="s">
        <v>206</v>
      </c>
      <c r="B135" s="14" t="s">
        <v>14</v>
      </c>
      <c r="C135" s="30">
        <f>SUMIF('AP Line Items'!C:C,"GOOD BOY MANUFACTURING",'AP Line Items'!E:E)</f>
        <v>8100</v>
      </c>
      <c r="D135" s="14">
        <f>COUNTIF('AP Line Items'!C:C,"GOOD BOY MANUFACTURING")</f>
        <v>1</v>
      </c>
      <c r="E135" s="31">
        <f t="shared" si="1"/>
        <v>0.0006959693339</v>
      </c>
    </row>
    <row r="136" ht="15.75" customHeight="1">
      <c r="A136" s="14" t="s">
        <v>207</v>
      </c>
      <c r="B136" s="14" t="s">
        <v>14</v>
      </c>
      <c r="C136" s="30">
        <f>SUMIF('AP Line Items'!C:C,"LEXIPOL",'AP Line Items'!E:E)</f>
        <v>8030.52</v>
      </c>
      <c r="D136" s="14">
        <f>COUNTIF('AP Line Items'!C:C,"LEXIPOL")</f>
        <v>1</v>
      </c>
      <c r="E136" s="31">
        <f t="shared" si="1"/>
        <v>0.0006899994636</v>
      </c>
    </row>
    <row r="137" ht="15.75" customHeight="1">
      <c r="A137" s="14" t="s">
        <v>208</v>
      </c>
      <c r="B137" s="14" t="s">
        <v>14</v>
      </c>
      <c r="C137" s="30">
        <f>SUMIF('AP Line Items'!C:C,"PHILLIPS SIGNS",'AP Line Items'!E:E)</f>
        <v>7972</v>
      </c>
      <c r="D137" s="14">
        <f>COUNTIF('AP Line Items'!C:C,"PHILLIPS SIGNS")</f>
        <v>6</v>
      </c>
      <c r="E137" s="31">
        <f t="shared" si="1"/>
        <v>0.0006849713</v>
      </c>
    </row>
    <row r="138" ht="15.75" customHeight="1">
      <c r="A138" s="14" t="s">
        <v>209</v>
      </c>
      <c r="B138" s="14" t="s">
        <v>14</v>
      </c>
      <c r="C138" s="30">
        <f>SUMIF('AP Line Items'!C:C,"FRONTLINE MOBILE TECH",'AP Line Items'!E:E)</f>
        <v>7958</v>
      </c>
      <c r="D138" s="14">
        <f>COUNTIF('AP Line Items'!C:C,"FRONTLINE MOBILE TECH")</f>
        <v>2</v>
      </c>
      <c r="E138" s="31">
        <f t="shared" si="1"/>
        <v>0.00068376839</v>
      </c>
    </row>
    <row r="139" ht="15.75" customHeight="1">
      <c r="A139" s="14" t="s">
        <v>210</v>
      </c>
      <c r="B139" s="14" t="s">
        <v>22</v>
      </c>
      <c r="C139" s="30">
        <f>SUMIF('AP Line Items'!C:C,"AQUALAW",'AP Line Items'!E:E)</f>
        <v>7954.5</v>
      </c>
      <c r="D139" s="14">
        <f>COUNTIF('AP Line Items'!C:C,"AQUALAW")</f>
        <v>4</v>
      </c>
      <c r="E139" s="31">
        <f t="shared" si="1"/>
        <v>0.0006834676625</v>
      </c>
    </row>
    <row r="140" ht="15.75" customHeight="1">
      <c r="A140" s="14" t="s">
        <v>211</v>
      </c>
      <c r="B140" s="14" t="s">
        <v>24</v>
      </c>
      <c r="C140" s="30">
        <f>SUMIF('AP Line Items'!C:C,"MML POLICE EXECUTIVE ASSOCIATION",'AP Line Items'!E:E)</f>
        <v>7937.95</v>
      </c>
      <c r="D140" s="14">
        <f>COUNTIF('AP Line Items'!C:C,"MML POLICE EXECUTIVE ASSOCIATION")</f>
        <v>3</v>
      </c>
      <c r="E140" s="31">
        <f t="shared" si="1"/>
        <v>0.0006820456511</v>
      </c>
    </row>
    <row r="141" ht="15.75" customHeight="1">
      <c r="A141" s="14" t="s">
        <v>212</v>
      </c>
      <c r="B141" s="14" t="s">
        <v>14</v>
      </c>
      <c r="C141" s="30">
        <f>SUMIF('AP Line Items'!C:C,"YODER OVERHEAD DOOR COMPANY",'AP Line Items'!E:E)</f>
        <v>7700</v>
      </c>
      <c r="D141" s="14">
        <f>COUNTIF('AP Line Items'!C:C,"YODER OVERHEAD DOOR COMPANY")</f>
        <v>2</v>
      </c>
      <c r="E141" s="31">
        <f t="shared" si="1"/>
        <v>0.0006616004779</v>
      </c>
    </row>
    <row r="142" ht="15.75" customHeight="1">
      <c r="A142" s="14" t="s">
        <v>213</v>
      </c>
      <c r="B142" s="14" t="s">
        <v>14</v>
      </c>
      <c r="C142" s="30">
        <f>SUMIF('AP Line Items'!C:C,"ALYSSA MALOOF PHOTOGRAPHY",'AP Line Items'!E:E)</f>
        <v>7695</v>
      </c>
      <c r="D142" s="14">
        <f>COUNTIF('AP Line Items'!C:C,"ALYSSA MALOOF PHOTOGRAPHY")</f>
        <v>1</v>
      </c>
      <c r="E142" s="31">
        <f t="shared" si="1"/>
        <v>0.0006611708672</v>
      </c>
    </row>
    <row r="143" ht="15.75" customHeight="1">
      <c r="A143" s="14" t="s">
        <v>214</v>
      </c>
      <c r="B143" s="14" t="s">
        <v>14</v>
      </c>
      <c r="C143" s="30">
        <f>SUMIF('AP Line Items'!C:C,"CJIS-CR",'AP Line Items'!E:E)</f>
        <v>7641</v>
      </c>
      <c r="D143" s="14">
        <f>COUNTIF('AP Line Items'!C:C,"CJIS-CR")</f>
        <v>12</v>
      </c>
      <c r="E143" s="31">
        <f t="shared" si="1"/>
        <v>0.0006565310716</v>
      </c>
    </row>
    <row r="144" ht="15.75" customHeight="1">
      <c r="A144" s="14" t="s">
        <v>215</v>
      </c>
      <c r="B144" s="14" t="s">
        <v>40</v>
      </c>
      <c r="C144" s="30">
        <f>SUMIF('AP Line Items'!C:C,"OFFICE OF HOME ENERGY PROGRAM",'AP Line Items'!E:E)</f>
        <v>7600</v>
      </c>
      <c r="D144" s="14">
        <f>COUNTIF('AP Line Items'!C:C,"OFFICE OF HOME ENERGY PROGRAM")</f>
        <v>1</v>
      </c>
      <c r="E144" s="31">
        <f t="shared" si="1"/>
        <v>0.0006530082639</v>
      </c>
    </row>
    <row r="145" ht="15.75" customHeight="1">
      <c r="A145" s="14" t="s">
        <v>216</v>
      </c>
      <c r="B145" s="14" t="s">
        <v>14</v>
      </c>
      <c r="C145" s="30">
        <f>SUMIF('AP Line Items'!C:C,"ASHTON WELDING",'AP Line Items'!E:E)</f>
        <v>7599.65</v>
      </c>
      <c r="D145" s="14">
        <f>COUNTIF('AP Line Items'!C:C,"ASHTON WELDING")</f>
        <v>2</v>
      </c>
      <c r="E145" s="31">
        <f t="shared" si="1"/>
        <v>0.0006529781912</v>
      </c>
    </row>
    <row r="146" ht="15.75" customHeight="1">
      <c r="A146" s="14" t="s">
        <v>217</v>
      </c>
      <c r="B146" s="14" t="s">
        <v>14</v>
      </c>
      <c r="C146" s="30">
        <f>SUMIF('AP Line Items'!C:C,"UNSCENE PRODUCTIONS",'AP Line Items'!E:E)</f>
        <v>7500</v>
      </c>
      <c r="D146" s="14">
        <f>COUNTIF('AP Line Items'!C:C,"UNSCENE PRODUCTIONS")</f>
        <v>3</v>
      </c>
      <c r="E146" s="31">
        <f t="shared" si="1"/>
        <v>0.0006444160499</v>
      </c>
    </row>
    <row r="147" ht="15.75" customHeight="1">
      <c r="A147" s="14" t="s">
        <v>218</v>
      </c>
      <c r="B147" s="14" t="s">
        <v>40</v>
      </c>
      <c r="C147" s="30">
        <f>SUMIF('AP Line Items'!C:C,"FLAG PUBLICATIONS",'AP Line Items'!E:E)</f>
        <v>7369.25</v>
      </c>
      <c r="D147" s="14">
        <f>COUNTIF('AP Line Items'!C:C,"FLAG PUBLICATIONS")</f>
        <v>26</v>
      </c>
      <c r="E147" s="31">
        <f t="shared" si="1"/>
        <v>0.0006331817301</v>
      </c>
    </row>
    <row r="148" ht="15.75" customHeight="1">
      <c r="A148" s="14" t="s">
        <v>219</v>
      </c>
      <c r="B148" s="14" t="s">
        <v>14</v>
      </c>
      <c r="C148" s="30">
        <f>SUMIF('AP Line Items'!C:C,"SHOCKLEY COLLIN",'AP Line Items'!E:E)</f>
        <v>7354.32</v>
      </c>
      <c r="D148" s="14">
        <f>COUNTIF('AP Line Items'!C:C,"SHOCKLEY COLLIN")</f>
        <v>8</v>
      </c>
      <c r="E148" s="31">
        <f t="shared" si="1"/>
        <v>0.0006318989126</v>
      </c>
    </row>
    <row r="149" ht="15.75" customHeight="1">
      <c r="A149" s="14" t="s">
        <v>220</v>
      </c>
      <c r="B149" s="14" t="s">
        <v>18</v>
      </c>
      <c r="C149" s="30">
        <f>SUMIF('AP Line Items'!C:C,"AFFORDABLE BUSINESS SYSTEMS",'AP Line Items'!E:E)</f>
        <v>7299.16</v>
      </c>
      <c r="D149" s="14">
        <f>COUNTIF('AP Line Items'!C:C,"AFFORDABLE BUSINESS SYSTEMS")</f>
        <v>10</v>
      </c>
      <c r="E149" s="31">
        <f t="shared" si="1"/>
        <v>0.0006271594473</v>
      </c>
    </row>
    <row r="150" ht="15.75" customHeight="1">
      <c r="A150" s="14" t="s">
        <v>221</v>
      </c>
      <c r="B150" s="14" t="s">
        <v>18</v>
      </c>
      <c r="C150" s="30">
        <f>SUMIF('AP Line Items'!C:C,"HITCHENS TIRE SERVICE",'AP Line Items'!E:E)</f>
        <v>7032.96</v>
      </c>
      <c r="D150" s="14">
        <f>COUNTIF('AP Line Items'!C:C,"HITCHENS TIRE SERVICE")</f>
        <v>3</v>
      </c>
      <c r="E150" s="31">
        <f t="shared" si="1"/>
        <v>0.0006042869736</v>
      </c>
    </row>
    <row r="151" ht="15.75" customHeight="1">
      <c r="A151" s="14" t="s">
        <v>222</v>
      </c>
      <c r="B151" s="14" t="s">
        <v>38</v>
      </c>
      <c r="C151" s="30">
        <f>SUMIF('AP Line Items'!C:C,"AE MOORE JANITORIAL",'AP Line Items'!E:E)</f>
        <v>6840.62</v>
      </c>
      <c r="D151" s="14">
        <f>COUNTIF('AP Line Items'!C:C,"AE MOORE JANITORIAL")</f>
        <v>14</v>
      </c>
      <c r="E151" s="31">
        <f t="shared" si="1"/>
        <v>0.0005877607092</v>
      </c>
    </row>
    <row r="152" ht="15.75" customHeight="1">
      <c r="A152" s="14" t="s">
        <v>223</v>
      </c>
      <c r="B152" s="14" t="s">
        <v>14</v>
      </c>
      <c r="C152" s="30">
        <f>SUMIF('AP Line Items'!C:C,"SHERWOOD-LOGAN ASSOCIATION",'AP Line Items'!E:E)</f>
        <v>6789.12</v>
      </c>
      <c r="D152" s="14">
        <f>COUNTIF('AP Line Items'!C:C,"SHERWOOD-LOGAN ASSOCIATION")</f>
        <v>4</v>
      </c>
      <c r="E152" s="31">
        <f t="shared" si="1"/>
        <v>0.000583335719</v>
      </c>
    </row>
    <row r="153" ht="15.75" customHeight="1">
      <c r="A153" s="14" t="s">
        <v>224</v>
      </c>
      <c r="B153" s="14" t="s">
        <v>38</v>
      </c>
      <c r="C153" s="30">
        <f>SUMIF('AP Line Items'!C:C,"MAIL MOVERS",'AP Line Items'!E:E)</f>
        <v>6736.19</v>
      </c>
      <c r="D153" s="14">
        <f>COUNTIF('AP Line Items'!C:C,"MAIL MOVERS")</f>
        <v>5</v>
      </c>
      <c r="E153" s="31">
        <f t="shared" si="1"/>
        <v>0.0005787878602</v>
      </c>
    </row>
    <row r="154" ht="15.75" customHeight="1">
      <c r="A154" s="14" t="s">
        <v>225</v>
      </c>
      <c r="B154" s="14" t="s">
        <v>14</v>
      </c>
      <c r="C154" s="30">
        <f>SUMIF('AP Line Items'!C:C,"HOPE UNIFORM &amp; SECURITY PRODUCTS",'AP Line Items'!E:E)</f>
        <v>6665.98</v>
      </c>
      <c r="D154" s="14">
        <f>COUNTIF('AP Line Items'!C:C,"HOPE UNIFORM &amp; SECURITY PRODUCTS")</f>
        <v>1</v>
      </c>
      <c r="E154" s="31">
        <f t="shared" si="1"/>
        <v>0.0005727552667</v>
      </c>
    </row>
    <row r="155" ht="15.75" customHeight="1">
      <c r="A155" s="14" t="s">
        <v>226</v>
      </c>
      <c r="B155" s="14" t="s">
        <v>14</v>
      </c>
      <c r="C155" s="30">
        <f>SUMIF('AP Line Items'!C:C,"ATLANTIC TRAFFIC SAFETY",'AP Line Items'!E:E)</f>
        <v>6457.5</v>
      </c>
      <c r="D155" s="14">
        <f>COUNTIF('AP Line Items'!C:C,"ATLANTIC TRAFFIC SAFETY")</f>
        <v>1</v>
      </c>
      <c r="E155" s="31">
        <f t="shared" si="1"/>
        <v>0.000554842219</v>
      </c>
    </row>
    <row r="156" ht="15.75" customHeight="1">
      <c r="A156" s="14" t="s">
        <v>227</v>
      </c>
      <c r="B156" s="14" t="s">
        <v>14</v>
      </c>
      <c r="C156" s="30">
        <f>SUMIF('AP Line Items'!C:C,"GROUND CONTROL TOURING",'AP Line Items'!E:E)</f>
        <v>6300</v>
      </c>
      <c r="D156" s="14">
        <f>COUNTIF('AP Line Items'!C:C,"GROUND CONTROL TOURING")</f>
        <v>1</v>
      </c>
      <c r="E156" s="31">
        <f t="shared" si="1"/>
        <v>0.0005413094819</v>
      </c>
    </row>
    <row r="157" ht="15.75" customHeight="1">
      <c r="A157" s="14" t="s">
        <v>228</v>
      </c>
      <c r="B157" s="14" t="s">
        <v>14</v>
      </c>
      <c r="C157" s="30">
        <f>SUMIF('AP Line Items'!C:C,"CHESAPEAKE ENVIRONMENTAL SERVICES",'AP Line Items'!E:E)</f>
        <v>5853.2</v>
      </c>
      <c r="D157" s="14">
        <f>COUNTIF('AP Line Items'!C:C,"CHESAPEAKE ENVIRONMENTAL SERVICES")</f>
        <v>1</v>
      </c>
      <c r="E157" s="31">
        <f t="shared" si="1"/>
        <v>0.0005029194698</v>
      </c>
    </row>
    <row r="158" ht="15.75" customHeight="1">
      <c r="A158" s="14" t="s">
        <v>229</v>
      </c>
      <c r="B158" s="14" t="s">
        <v>14</v>
      </c>
      <c r="C158" s="30">
        <f>SUMIF('AP Line Items'!C:C,"TOURS ENTERTAINMENT AMUSEMENT MANAGEMENT",'AP Line Items'!E:E)</f>
        <v>5750</v>
      </c>
      <c r="D158" s="14">
        <f>COUNTIF('AP Line Items'!C:C,"TOURS ENTERTAINMENT AMUSEMENT MANAGEMENT")</f>
        <v>6</v>
      </c>
      <c r="E158" s="31">
        <f t="shared" si="1"/>
        <v>0.0004940523049</v>
      </c>
    </row>
    <row r="159" ht="15.75" customHeight="1">
      <c r="A159" s="14" t="s">
        <v>230</v>
      </c>
      <c r="B159" s="14" t="s">
        <v>36</v>
      </c>
      <c r="C159" s="30">
        <f>SUMIF('AP Line Items'!C:C,"CHESAPEAKE UTILITIES &amp; SUBS",'AP Line Items'!E:E)</f>
        <v>5612.62</v>
      </c>
      <c r="D159" s="14">
        <f>COUNTIF('AP Line Items'!C:C,"CHESAPEAKE UTILITIES &amp; SUBS")</f>
        <v>6</v>
      </c>
      <c r="E159" s="31">
        <f t="shared" si="1"/>
        <v>0.0004822483213</v>
      </c>
    </row>
    <row r="160" ht="15.75" customHeight="1">
      <c r="A160" s="14" t="s">
        <v>231</v>
      </c>
      <c r="B160" s="14" t="s">
        <v>14</v>
      </c>
      <c r="C160" s="30">
        <f>SUMIF('AP Line Items'!C:C,"BULLETPROOF SOLUTIONS",'AP Line Items'!E:E)</f>
        <v>5600</v>
      </c>
      <c r="D160" s="14">
        <f>COUNTIF('AP Line Items'!C:C,"BULLETPROOF SOLUTIONS")</f>
        <v>1</v>
      </c>
      <c r="E160" s="31">
        <f t="shared" si="1"/>
        <v>0.0004811639839</v>
      </c>
    </row>
    <row r="161" ht="15.75" customHeight="1">
      <c r="A161" s="14" t="s">
        <v>232</v>
      </c>
      <c r="B161" s="14" t="s">
        <v>14</v>
      </c>
      <c r="C161" s="30">
        <f>SUMIF('AP Line Items'!C:C,"ATLANTIC TACTICAL",'AP Line Items'!E:E)</f>
        <v>5520.16</v>
      </c>
      <c r="D161" s="14">
        <f>COUNTIF('AP Line Items'!C:C,"ATLANTIC TACTICAL")</f>
        <v>2</v>
      </c>
      <c r="E161" s="31">
        <f t="shared" si="1"/>
        <v>0.0004743039603</v>
      </c>
    </row>
    <row r="162" ht="15.75" customHeight="1">
      <c r="A162" s="14" t="s">
        <v>233</v>
      </c>
      <c r="B162" s="14" t="s">
        <v>14</v>
      </c>
      <c r="C162" s="30">
        <f>SUMIF('AP Line Items'!C:C,"SANDPIPER ENERGY",'AP Line Items'!E:E)</f>
        <v>5506.99</v>
      </c>
      <c r="D162" s="14">
        <f>COUNTIF('AP Line Items'!C:C,"SANDPIPER ENERGY")</f>
        <v>8</v>
      </c>
      <c r="E162" s="31">
        <f t="shared" si="1"/>
        <v>0.0004731723657</v>
      </c>
    </row>
    <row r="163" ht="15.75" customHeight="1">
      <c r="A163" s="14" t="s">
        <v>234</v>
      </c>
      <c r="B163" s="14" t="s">
        <v>14</v>
      </c>
      <c r="C163" s="30">
        <f>SUMIF('AP Line Items'!C:C,"SALEH NATALIE",'AP Line Items'!E:E)</f>
        <v>5506.55</v>
      </c>
      <c r="D163" s="14">
        <f>COUNTIF('AP Line Items'!C:C,"SALEH NATALIE")</f>
        <v>5</v>
      </c>
      <c r="E163" s="31">
        <f t="shared" si="1"/>
        <v>0.0004731345599</v>
      </c>
    </row>
    <row r="164" ht="15.75" customHeight="1">
      <c r="A164" s="14" t="s">
        <v>235</v>
      </c>
      <c r="B164" s="14" t="s">
        <v>30</v>
      </c>
      <c r="C164" s="30">
        <f>SUMIF('AP Line Items'!C:C,"QUADIENT LEASING USA",'AP Line Items'!E:E)</f>
        <v>5490.24</v>
      </c>
      <c r="D164" s="14">
        <f>COUNTIF('AP Line Items'!C:C,"QUADIENT LEASING USA")</f>
        <v>7</v>
      </c>
      <c r="E164" s="31">
        <f t="shared" si="1"/>
        <v>0.0004717331698</v>
      </c>
    </row>
    <row r="165" ht="15.75" customHeight="1">
      <c r="A165" s="14" t="s">
        <v>236</v>
      </c>
      <c r="B165" s="14" t="s">
        <v>14</v>
      </c>
      <c r="C165" s="30">
        <f>SUMIF('AP Line Items'!C:C,"ATLANTIC TRACTOR",'AP Line Items'!E:E)</f>
        <v>5395.76</v>
      </c>
      <c r="D165" s="14">
        <f>COUNTIF('AP Line Items'!C:C,"ATLANTIC TRACTOR")</f>
        <v>6</v>
      </c>
      <c r="E165" s="31">
        <f t="shared" si="1"/>
        <v>0.0004636152461</v>
      </c>
    </row>
    <row r="166" ht="15.75" customHeight="1">
      <c r="A166" s="14" t="s">
        <v>237</v>
      </c>
      <c r="B166" s="14" t="s">
        <v>14</v>
      </c>
      <c r="C166" s="30">
        <f>SUMIF('AP Line Items'!C:C,"REAL PROPERTY MAINTENANCE",'AP Line Items'!E:E)</f>
        <v>5361.25</v>
      </c>
      <c r="D166" s="14">
        <f>COUNTIF('AP Line Items'!C:C,"REAL PROPERTY MAINTENANCE")</f>
        <v>2</v>
      </c>
      <c r="E166" s="31">
        <f t="shared" si="1"/>
        <v>0.000460650073</v>
      </c>
    </row>
    <row r="167" ht="15.75" customHeight="1">
      <c r="A167" s="14" t="s">
        <v>238</v>
      </c>
      <c r="B167" s="14" t="s">
        <v>14</v>
      </c>
      <c r="C167" s="30">
        <f>SUMIF('AP Line Items'!C:C,"GLOBAL PUBLIC SAFETY",'AP Line Items'!E:E)</f>
        <v>5311.7</v>
      </c>
      <c r="D167" s="14">
        <f>COUNTIF('AP Line Items'!C:C,"GLOBAL PUBLIC SAFETY")</f>
        <v>1</v>
      </c>
      <c r="E167" s="31">
        <f t="shared" si="1"/>
        <v>0.000456392631</v>
      </c>
    </row>
    <row r="168" ht="15.75" customHeight="1">
      <c r="A168" s="14" t="s">
        <v>239</v>
      </c>
      <c r="B168" s="14" t="s">
        <v>18</v>
      </c>
      <c r="C168" s="30">
        <f>SUMIF('AP Line Items'!C:C,"SELBYVILLE TRACTOR &amp; EQUIPMENT",'AP Line Items'!E:E)</f>
        <v>5147.09</v>
      </c>
      <c r="D168" s="14">
        <f>COUNTIF('AP Line Items'!C:C,"SELBYVILLE TRACTOR &amp; EQUIPMENT")</f>
        <v>5</v>
      </c>
      <c r="E168" s="31">
        <f t="shared" si="1"/>
        <v>0.0004422489875</v>
      </c>
    </row>
    <row r="169" ht="15.75" customHeight="1">
      <c r="A169" s="14" t="s">
        <v>240</v>
      </c>
      <c r="B169" s="14" t="s">
        <v>14</v>
      </c>
      <c r="C169" s="30">
        <f>SUMIF('AP Line Items'!C:C,"BAY FOUR",'AP Line Items'!E:E)</f>
        <v>5000</v>
      </c>
      <c r="D169" s="14">
        <f>COUNTIF('AP Line Items'!C:C,"BAY FOUR")</f>
        <v>1</v>
      </c>
      <c r="E169" s="31">
        <f t="shared" si="1"/>
        <v>0.0004296106999</v>
      </c>
    </row>
    <row r="170" ht="15.75" customHeight="1">
      <c r="A170" s="14" t="s">
        <v>241</v>
      </c>
      <c r="B170" s="14" t="s">
        <v>14</v>
      </c>
      <c r="C170" s="30">
        <f>SUMIF('AP Line Items'!C:C,"ISAACS &amp; ASSOCIATES",'AP Line Items'!E:E)</f>
        <v>4998.69</v>
      </c>
      <c r="D170" s="14">
        <f>COUNTIF('AP Line Items'!C:C,"ISAACS &amp; ASSOCIATES")</f>
        <v>1</v>
      </c>
      <c r="E170" s="31">
        <f t="shared" si="1"/>
        <v>0.0004294981419</v>
      </c>
    </row>
    <row r="171" ht="15.75" customHeight="1">
      <c r="A171" s="14" t="s">
        <v>242</v>
      </c>
      <c r="B171" s="14" t="s">
        <v>36</v>
      </c>
      <c r="C171" s="30">
        <f>SUMIF('AP Line Items'!C:C,"VERIZON WIRELESS-720117503-00001",'AP Line Items'!E:E)</f>
        <v>4980.14</v>
      </c>
      <c r="D171" s="14">
        <f>COUNTIF('AP Line Items'!C:C,"VERIZON WIRELESS-720117503-00001")</f>
        <v>8</v>
      </c>
      <c r="E171" s="31">
        <f t="shared" si="1"/>
        <v>0.0004279042862</v>
      </c>
    </row>
    <row r="172" ht="15.75" customHeight="1">
      <c r="A172" s="14" t="s">
        <v>243</v>
      </c>
      <c r="B172" s="14" t="s">
        <v>14</v>
      </c>
      <c r="C172" s="30">
        <f>SUMIF('AP Line Items'!C:C,"WASHINGTON NATIONAL INSURANCE COMPANY",'AP Line Items'!E:E)</f>
        <v>4916.23</v>
      </c>
      <c r="D172" s="14">
        <f>COUNTIF('AP Line Items'!C:C,"WASHINGTON NATIONAL INSURANCE COMPANY")</f>
        <v>13</v>
      </c>
      <c r="E172" s="31">
        <f t="shared" si="1"/>
        <v>0.0004224130023</v>
      </c>
    </row>
    <row r="173" ht="15.75" customHeight="1">
      <c r="A173" s="14" t="s">
        <v>244</v>
      </c>
      <c r="B173" s="14" t="s">
        <v>14</v>
      </c>
      <c r="C173" s="30">
        <f>SUMIF('AP Line Items'!C:C,"ROY CASE",'AP Line Items'!E:E)</f>
        <v>4896.76</v>
      </c>
      <c r="D173" s="14">
        <f>COUNTIF('AP Line Items'!C:C,"ROY CASE")</f>
        <v>3</v>
      </c>
      <c r="E173" s="31">
        <f t="shared" si="1"/>
        <v>0.0004207400982</v>
      </c>
    </row>
    <row r="174" ht="15.75" customHeight="1">
      <c r="A174" s="14" t="s">
        <v>245</v>
      </c>
      <c r="B174" s="14" t="s">
        <v>14</v>
      </c>
      <c r="C174" s="30">
        <f>SUMIF('AP Line Items'!C:C,"TAYLOR OIL COMPANY",'AP Line Items'!E:E)</f>
        <v>4821.3</v>
      </c>
      <c r="D174" s="14">
        <f>COUNTIF('AP Line Items'!C:C,"TAYLOR OIL COMPANY")</f>
        <v>1</v>
      </c>
      <c r="E174" s="31">
        <f t="shared" si="1"/>
        <v>0.0004142564135</v>
      </c>
    </row>
    <row r="175" ht="15.75" customHeight="1">
      <c r="A175" s="14" t="s">
        <v>246</v>
      </c>
      <c r="B175" s="14" t="s">
        <v>42</v>
      </c>
      <c r="C175" s="30">
        <f>SUMIF('AP Line Items'!C:C,"WEST OCEAN CITY ILLNESS &amp; INJURY CENTER",'AP Line Items'!E:E)</f>
        <v>4811</v>
      </c>
      <c r="D175" s="14">
        <f>COUNTIF('AP Line Items'!C:C,"WEST OCEAN CITY ILLNESS &amp; INJURY CENTER")</f>
        <v>18</v>
      </c>
      <c r="E175" s="31">
        <f t="shared" si="1"/>
        <v>0.0004133714155</v>
      </c>
    </row>
    <row r="176" ht="15.75" customHeight="1">
      <c r="A176" s="14" t="s">
        <v>247</v>
      </c>
      <c r="B176" s="14" t="s">
        <v>14</v>
      </c>
      <c r="C176" s="30">
        <f>SUMIF('AP Line Items'!C:C,"EASTERN SHORE FOREST PRODUCTS",'AP Line Items'!E:E)</f>
        <v>4775</v>
      </c>
      <c r="D176" s="14">
        <f>COUNTIF('AP Line Items'!C:C,"EASTERN SHORE FOREST PRODUCTS")</f>
        <v>9</v>
      </c>
      <c r="E176" s="31">
        <f t="shared" si="1"/>
        <v>0.0004102782184</v>
      </c>
    </row>
    <row r="177" ht="15.75" customHeight="1">
      <c r="A177" s="14" t="s">
        <v>248</v>
      </c>
      <c r="B177" s="14" t="s">
        <v>14</v>
      </c>
      <c r="C177" s="30">
        <f>SUMIF('AP Line Items'!C:C,"FASTENAL",'AP Line Items'!E:E)</f>
        <v>4768</v>
      </c>
      <c r="D177" s="14">
        <f>COUNTIF('AP Line Items'!C:C,"FASTENAL")</f>
        <v>4</v>
      </c>
      <c r="E177" s="31">
        <f t="shared" si="1"/>
        <v>0.0004096767635</v>
      </c>
    </row>
    <row r="178" ht="15.75" customHeight="1">
      <c r="A178" s="14" t="s">
        <v>249</v>
      </c>
      <c r="B178" s="14" t="s">
        <v>14</v>
      </c>
      <c r="C178" s="30">
        <f>SUMIF('AP Line Items'!C:C,"JOHN'S AUTO BODY",'AP Line Items'!E:E)</f>
        <v>4756.54</v>
      </c>
      <c r="D178" s="14">
        <f>COUNTIF('AP Line Items'!C:C,"JOHN'S AUTO BODY")</f>
        <v>1</v>
      </c>
      <c r="E178" s="31">
        <f t="shared" si="1"/>
        <v>0.0004086920957</v>
      </c>
    </row>
    <row r="179" ht="15.75" customHeight="1">
      <c r="A179" s="14" t="s">
        <v>250</v>
      </c>
      <c r="B179" s="14" t="s">
        <v>14</v>
      </c>
      <c r="C179" s="30">
        <f>SUMIF('AP Line Items'!C:C,"COLLINS JESSICA",'AP Line Items'!E:E)</f>
        <v>4730.33</v>
      </c>
      <c r="D179" s="14">
        <f>COUNTIF('AP Line Items'!C:C,"COLLINS JESSICA")</f>
        <v>7</v>
      </c>
      <c r="E179" s="31">
        <f t="shared" si="1"/>
        <v>0.0004064400764</v>
      </c>
    </row>
    <row r="180" ht="15.75" customHeight="1">
      <c r="A180" s="14" t="s">
        <v>251</v>
      </c>
      <c r="B180" s="14" t="s">
        <v>14</v>
      </c>
      <c r="C180" s="30">
        <f>SUMIF('AP Line Items'!C:C,"R D GRIER &amp; SONS",'AP Line Items'!E:E)</f>
        <v>4690.12</v>
      </c>
      <c r="D180" s="14">
        <f>COUNTIF('AP Line Items'!C:C,"R D GRIER &amp; SONS")</f>
        <v>2</v>
      </c>
      <c r="E180" s="31">
        <f t="shared" si="1"/>
        <v>0.0004029851472</v>
      </c>
    </row>
    <row r="181" ht="15.75" customHeight="1">
      <c r="A181" s="14" t="s">
        <v>252</v>
      </c>
      <c r="B181" s="14" t="s">
        <v>14</v>
      </c>
      <c r="C181" s="30">
        <f>SUMIF('AP Line Items'!C:C,"PPC LUBRICANTS",'AP Line Items'!E:E)</f>
        <v>4650.55</v>
      </c>
      <c r="D181" s="14">
        <f>COUNTIF('AP Line Items'!C:C,"PPC LUBRICANTS")</f>
        <v>2</v>
      </c>
      <c r="E181" s="31">
        <f t="shared" si="1"/>
        <v>0.0003995852081</v>
      </c>
    </row>
    <row r="182" ht="15.75" customHeight="1">
      <c r="A182" s="14" t="s">
        <v>253</v>
      </c>
      <c r="B182" s="14" t="s">
        <v>14</v>
      </c>
      <c r="C182" s="30">
        <f>SUMIF('AP Line Items'!C:C,"UNIVERSITY OF MARYLAND",'AP Line Items'!E:E)</f>
        <v>4564</v>
      </c>
      <c r="D182" s="14">
        <f>COUNTIF('AP Line Items'!C:C,"UNIVERSITY OF MARYLAND")</f>
        <v>2</v>
      </c>
      <c r="E182" s="31">
        <f t="shared" si="1"/>
        <v>0.0003921486469</v>
      </c>
    </row>
    <row r="183" ht="15.75" customHeight="1">
      <c r="A183" s="14" t="s">
        <v>254</v>
      </c>
      <c r="B183" s="14" t="s">
        <v>14</v>
      </c>
      <c r="C183" s="30">
        <f>SUMIF('AP Line Items'!C:C,"PITTSVILLE MOTORS",'AP Line Items'!E:E)</f>
        <v>4505.01</v>
      </c>
      <c r="D183" s="14">
        <f>COUNTIF('AP Line Items'!C:C,"PITTSVILLE MOTORS")</f>
        <v>5</v>
      </c>
      <c r="E183" s="31">
        <f t="shared" si="1"/>
        <v>0.0003870800999</v>
      </c>
    </row>
    <row r="184" ht="15.75" customHeight="1">
      <c r="A184" s="14" t="s">
        <v>255</v>
      </c>
      <c r="B184" s="14" t="s">
        <v>14</v>
      </c>
      <c r="C184" s="30">
        <f>SUMIF('AP Line Items'!C:C,"RANDY DAVIS",'AP Line Items'!E:E)</f>
        <v>4500</v>
      </c>
      <c r="D184" s="14">
        <f>COUNTIF('AP Line Items'!C:C,"RANDY DAVIS")</f>
        <v>1</v>
      </c>
      <c r="E184" s="31">
        <f t="shared" si="1"/>
        <v>0.0003866496299</v>
      </c>
    </row>
    <row r="185" ht="15.75" customHeight="1">
      <c r="A185" s="14" t="s">
        <v>256</v>
      </c>
      <c r="B185" s="14" t="s">
        <v>14</v>
      </c>
      <c r="C185" s="30">
        <f>SUMIF('AP Line Items'!C:C,"CAREFLEX",'AP Line Items'!E:E)</f>
        <v>4455</v>
      </c>
      <c r="D185" s="14">
        <f>COUNTIF('AP Line Items'!C:C,"CAREFLEX")</f>
        <v>4</v>
      </c>
      <c r="E185" s="31">
        <f t="shared" si="1"/>
        <v>0.0003827831336</v>
      </c>
    </row>
    <row r="186" ht="15.75" customHeight="1">
      <c r="A186" s="14" t="s">
        <v>257</v>
      </c>
      <c r="B186" s="14" t="s">
        <v>14</v>
      </c>
      <c r="C186" s="30">
        <f>SUMIF('AP Line Items'!C:C,"THE GUN SHOP",'AP Line Items'!E:E)</f>
        <v>4419.52</v>
      </c>
      <c r="D186" s="14">
        <f>COUNTIF('AP Line Items'!C:C,"THE GUN SHOP")</f>
        <v>2</v>
      </c>
      <c r="E186" s="31">
        <f t="shared" si="1"/>
        <v>0.0003797346161</v>
      </c>
    </row>
    <row r="187" ht="15.75" customHeight="1">
      <c r="A187" s="14" t="s">
        <v>258</v>
      </c>
      <c r="B187" s="14" t="s">
        <v>14</v>
      </c>
      <c r="C187" s="30">
        <f>SUMIF('AP Line Items'!C:C,"ACCURATE CALIBRATION SERVICES",'AP Line Items'!E:E)</f>
        <v>4300</v>
      </c>
      <c r="D187" s="14">
        <f>COUNTIF('AP Line Items'!C:C,"ACCURATE CALIBRATION SERVICES")</f>
        <v>2</v>
      </c>
      <c r="E187" s="31">
        <f t="shared" si="1"/>
        <v>0.0003694652019</v>
      </c>
    </row>
    <row r="188" ht="15.75" customHeight="1">
      <c r="A188" s="14" t="s">
        <v>259</v>
      </c>
      <c r="B188" s="14" t="s">
        <v>14</v>
      </c>
      <c r="C188" s="30">
        <f>SUMIF('AP Line Items'!C:C,"FULL MOON ENTERTAINMENT SERVICES",'AP Line Items'!E:E)</f>
        <v>4150</v>
      </c>
      <c r="D188" s="14">
        <f>COUNTIF('AP Line Items'!C:C,"FULL MOON ENTERTAINMENT SERVICES")</f>
        <v>3</v>
      </c>
      <c r="E188" s="31">
        <f t="shared" si="1"/>
        <v>0.0003565768809</v>
      </c>
    </row>
    <row r="189" ht="15.75" customHeight="1">
      <c r="A189" s="14" t="s">
        <v>260</v>
      </c>
      <c r="B189" s="14" t="s">
        <v>20</v>
      </c>
      <c r="C189" s="30">
        <f>SUMIF('AP Line Items'!C:C,"SOUTHEASTERN TRANSFORMER",'AP Line Items'!E:E)</f>
        <v>4079.1</v>
      </c>
      <c r="D189" s="14">
        <f>COUNTIF('AP Line Items'!C:C,"SOUTHEASTERN TRANSFORMER")</f>
        <v>1</v>
      </c>
      <c r="E189" s="31">
        <f t="shared" si="1"/>
        <v>0.0003504850012</v>
      </c>
    </row>
    <row r="190" ht="15.75" customHeight="1">
      <c r="A190" s="14" t="s">
        <v>261</v>
      </c>
      <c r="B190" s="14" t="s">
        <v>14</v>
      </c>
      <c r="C190" s="30">
        <f>SUMIF('AP Line Items'!C:C,"TROJAN TECHNOLOGIES",'AP Line Items'!E:E)</f>
        <v>3972</v>
      </c>
      <c r="D190" s="14">
        <f>COUNTIF('AP Line Items'!C:C,"TROJAN TECHNOLOGIES")</f>
        <v>2</v>
      </c>
      <c r="E190" s="31">
        <f t="shared" si="1"/>
        <v>0.00034128274</v>
      </c>
    </row>
    <row r="191" ht="15.75" customHeight="1">
      <c r="A191" s="14" t="s">
        <v>262</v>
      </c>
      <c r="B191" s="14" t="s">
        <v>32</v>
      </c>
      <c r="C191" s="30">
        <f>SUMIF('AP Line Items'!C:C,"MID-ATLANTIC WASTE SYSTEMS",'AP Line Items'!E:E)</f>
        <v>3927.5</v>
      </c>
      <c r="D191" s="14">
        <f>COUNTIF('AP Line Items'!C:C,"MID-ATLANTIC WASTE SYSTEMS")</f>
        <v>2</v>
      </c>
      <c r="E191" s="31">
        <f t="shared" si="1"/>
        <v>0.0003374592048</v>
      </c>
    </row>
    <row r="192" ht="15.75" customHeight="1">
      <c r="A192" s="14" t="s">
        <v>263</v>
      </c>
      <c r="B192" s="14" t="s">
        <v>14</v>
      </c>
      <c r="C192" s="30">
        <f>SUMIF('AP Line Items'!C:C,"ONSOLVE INTERMEDIATE HOLDING COMPANY",'AP Line Items'!E:E)</f>
        <v>3839.9</v>
      </c>
      <c r="D192" s="14">
        <f>COUNTIF('AP Line Items'!C:C,"ONSOLVE INTERMEDIATE HOLDING COMPANY")</f>
        <v>1</v>
      </c>
      <c r="E192" s="31">
        <f t="shared" si="1"/>
        <v>0.0003299324253</v>
      </c>
    </row>
    <row r="193" ht="15.75" customHeight="1">
      <c r="A193" s="14" t="s">
        <v>264</v>
      </c>
      <c r="B193" s="14" t="s">
        <v>14</v>
      </c>
      <c r="C193" s="30">
        <f>SUMIF('AP Line Items'!C:C,"DEELEY INSURANCE GROUP",'AP Line Items'!E:E)</f>
        <v>3776</v>
      </c>
      <c r="D193" s="14">
        <f>COUNTIF('AP Line Items'!C:C,"DEELEY INSURANCE GROUP")</f>
        <v>1</v>
      </c>
      <c r="E193" s="31">
        <f t="shared" si="1"/>
        <v>0.0003244420006</v>
      </c>
    </row>
    <row r="194" ht="15.75" customHeight="1">
      <c r="A194" s="14" t="s">
        <v>265</v>
      </c>
      <c r="B194" s="14" t="s">
        <v>14</v>
      </c>
      <c r="C194" s="30">
        <f>SUMIF('AP Line Items'!C:C,"MCGEE FENCE",'AP Line Items'!E:E)</f>
        <v>3695</v>
      </c>
      <c r="D194" s="14">
        <f>COUNTIF('AP Line Items'!C:C,"MCGEE FENCE")</f>
        <v>1</v>
      </c>
      <c r="E194" s="31">
        <f t="shared" si="1"/>
        <v>0.0003174823073</v>
      </c>
    </row>
    <row r="195" ht="15.75" customHeight="1">
      <c r="A195" s="14" t="s">
        <v>266</v>
      </c>
      <c r="B195" s="14" t="s">
        <v>14</v>
      </c>
      <c r="C195" s="30">
        <f>SUMIF('AP Line Items'!C:C,"TRACTOR SUPPLY",'AP Line Items'!E:E)</f>
        <v>3599.99</v>
      </c>
      <c r="D195" s="14">
        <f>COUNTIF('AP Line Items'!C:C,"TRACTOR SUPPLY")</f>
        <v>1</v>
      </c>
      <c r="E195" s="31">
        <f t="shared" si="1"/>
        <v>0.0003093188447</v>
      </c>
    </row>
    <row r="196" ht="15.75" customHeight="1">
      <c r="A196" s="14" t="s">
        <v>267</v>
      </c>
      <c r="B196" s="14" t="s">
        <v>14</v>
      </c>
      <c r="C196" s="30">
        <f>SUMIF('AP Line Items'!C:C,"CENTRAL IRRIGATION SUPPLY",'AP Line Items'!E:E)</f>
        <v>3456.4</v>
      </c>
      <c r="D196" s="14">
        <f>COUNTIF('AP Line Items'!C:C,"CENTRAL IRRIGATION SUPPLY")</f>
        <v>2</v>
      </c>
      <c r="E196" s="31">
        <f t="shared" si="1"/>
        <v>0.0002969812847</v>
      </c>
    </row>
    <row r="197" ht="15.75" customHeight="1">
      <c r="A197" s="14" t="s">
        <v>268</v>
      </c>
      <c r="B197" s="14" t="s">
        <v>14</v>
      </c>
      <c r="C197" s="30">
        <f>SUMIF('AP Line Items'!C:C,"OCEAN BREEZE",'AP Line Items'!E:E)</f>
        <v>3330.73</v>
      </c>
      <c r="D197" s="14">
        <f>COUNTIF('AP Line Items'!C:C,"OCEAN BREEZE")</f>
        <v>3</v>
      </c>
      <c r="E197" s="31">
        <f t="shared" si="1"/>
        <v>0.0002861834493</v>
      </c>
    </row>
    <row r="198" ht="15.75" customHeight="1">
      <c r="A198" s="14" t="s">
        <v>269</v>
      </c>
      <c r="B198" s="14" t="s">
        <v>14</v>
      </c>
      <c r="C198" s="30">
        <f>SUMIF('AP Line Items'!C:C,"ABSOLUTE SECURITY GROUP",'AP Line Items'!E:E)</f>
        <v>3324.16</v>
      </c>
      <c r="D198" s="14">
        <f>COUNTIF('AP Line Items'!C:C,"ABSOLUTE SECURITY GROUP")</f>
        <v>6</v>
      </c>
      <c r="E198" s="31">
        <f t="shared" si="1"/>
        <v>0.0002856189409</v>
      </c>
    </row>
    <row r="199" ht="15.75" customHeight="1">
      <c r="A199" s="14" t="s">
        <v>270</v>
      </c>
      <c r="B199" s="14" t="s">
        <v>14</v>
      </c>
      <c r="C199" s="30">
        <f>SUMIF('AP Line Items'!C:C,"PHOENIX DISTRIBUTORS",'AP Line Items'!E:E)</f>
        <v>3300</v>
      </c>
      <c r="D199" s="14">
        <f>COUNTIF('AP Line Items'!C:C,"PHOENIX DISTRIBUTORS")</f>
        <v>1</v>
      </c>
      <c r="E199" s="31">
        <f t="shared" si="1"/>
        <v>0.000283543062</v>
      </c>
    </row>
    <row r="200" ht="15.75" customHeight="1">
      <c r="A200" s="14" t="s">
        <v>271</v>
      </c>
      <c r="B200" s="14" t="s">
        <v>14</v>
      </c>
      <c r="C200" s="30">
        <f>SUMIF('AP Line Items'!C:C,"HID GLOBAL",'AP Line Items'!E:E)</f>
        <v>3263</v>
      </c>
      <c r="D200" s="14">
        <f>COUNTIF('AP Line Items'!C:C,"HID GLOBAL")</f>
        <v>1</v>
      </c>
      <c r="E200" s="31">
        <f t="shared" si="1"/>
        <v>0.0002803639428</v>
      </c>
    </row>
    <row r="201" ht="15.75" customHeight="1">
      <c r="A201" s="14" t="s">
        <v>272</v>
      </c>
      <c r="B201" s="14" t="s">
        <v>14</v>
      </c>
      <c r="C201" s="30">
        <f>SUMIF('AP Line Items'!C:C,"CHEMSEARCH",'AP Line Items'!E:E)</f>
        <v>3247.3</v>
      </c>
      <c r="D201" s="14">
        <f>COUNTIF('AP Line Items'!C:C,"CHEMSEARCH")</f>
        <v>3</v>
      </c>
      <c r="E201" s="31">
        <f t="shared" si="1"/>
        <v>0.0002790149652</v>
      </c>
    </row>
    <row r="202" ht="15.75" customHeight="1">
      <c r="A202" s="14" t="s">
        <v>273</v>
      </c>
      <c r="B202" s="14" t="s">
        <v>14</v>
      </c>
      <c r="C202" s="30">
        <f>SUMIF('AP Line Items'!C:C,"WOR WIC COMMUNITY COLLEGE",'AP Line Items'!E:E)</f>
        <v>3184</v>
      </c>
      <c r="D202" s="14">
        <f>COUNTIF('AP Line Items'!C:C,"WOR WIC COMMUNITY COLLEGE")</f>
        <v>6</v>
      </c>
      <c r="E202" s="31">
        <f t="shared" si="1"/>
        <v>0.0002735760937</v>
      </c>
    </row>
    <row r="203" ht="15.75" customHeight="1">
      <c r="A203" s="14" t="s">
        <v>274</v>
      </c>
      <c r="B203" s="14" t="s">
        <v>14</v>
      </c>
      <c r="C203" s="30">
        <f>SUMIF('AP Line Items'!C:C,"GEORGE FREDERICK EGGERS",'AP Line Items'!E:E)</f>
        <v>3150</v>
      </c>
      <c r="D203" s="14">
        <f>COUNTIF('AP Line Items'!C:C,"GEORGE FREDERICK EGGERS")</f>
        <v>6</v>
      </c>
      <c r="E203" s="31">
        <f t="shared" si="1"/>
        <v>0.000270654741</v>
      </c>
    </row>
    <row r="204" ht="15.75" customHeight="1">
      <c r="A204" s="14" t="s">
        <v>275</v>
      </c>
      <c r="B204" s="14" t="s">
        <v>30</v>
      </c>
      <c r="C204" s="30">
        <f>SUMIF('AP Line Items'!C:C,"CIVICPLUS",'AP Line Items'!E:E)</f>
        <v>3122.71</v>
      </c>
      <c r="D204" s="14">
        <f>COUNTIF('AP Line Items'!C:C,"CIVICPLUS")</f>
        <v>2</v>
      </c>
      <c r="E204" s="31">
        <f t="shared" si="1"/>
        <v>0.0002683099258</v>
      </c>
    </row>
    <row r="205" ht="15.75" customHeight="1">
      <c r="A205" s="14" t="s">
        <v>276</v>
      </c>
      <c r="B205" s="14" t="s">
        <v>14</v>
      </c>
      <c r="C205" s="30">
        <f>SUMIF('AP Line Items'!C:C,"SHORITE CONTROL JOHN FUNK JR",'AP Line Items'!E:E)</f>
        <v>3102.16</v>
      </c>
      <c r="D205" s="14">
        <f>COUNTIF('AP Line Items'!C:C,"SHORITE CONTROL JOHN FUNK JR")</f>
        <v>5</v>
      </c>
      <c r="E205" s="31">
        <f t="shared" si="1"/>
        <v>0.0002665442258</v>
      </c>
    </row>
    <row r="206" ht="15.75" customHeight="1">
      <c r="A206" s="14" t="s">
        <v>277</v>
      </c>
      <c r="B206" s="14" t="s">
        <v>14</v>
      </c>
      <c r="C206" s="30">
        <f>SUMIF('AP Line Items'!C:C,"FIRE PROTECTIVE SERVICE",'AP Line Items'!E:E)</f>
        <v>2959.37</v>
      </c>
      <c r="D206" s="14">
        <f>COUNTIF('AP Line Items'!C:C,"FIRE PROTECTIVE SERVICE")</f>
        <v>10</v>
      </c>
      <c r="E206" s="31">
        <f t="shared" si="1"/>
        <v>0.0002542754034</v>
      </c>
    </row>
    <row r="207" ht="15.75" customHeight="1">
      <c r="A207" s="14" t="s">
        <v>278</v>
      </c>
      <c r="B207" s="14" t="s">
        <v>14</v>
      </c>
      <c r="C207" s="30">
        <f>SUMIF('AP Line Items'!C:C,"ATLANTIC PUMPING",'AP Line Items'!E:E)</f>
        <v>2945</v>
      </c>
      <c r="D207" s="14">
        <f>COUNTIF('AP Line Items'!C:C,"ATLANTIC PUMPING")</f>
        <v>5</v>
      </c>
      <c r="E207" s="31">
        <f t="shared" si="1"/>
        <v>0.0002530407023</v>
      </c>
    </row>
    <row r="208" ht="15.75" customHeight="1">
      <c r="A208" s="14" t="s">
        <v>279</v>
      </c>
      <c r="B208" s="14" t="s">
        <v>18</v>
      </c>
      <c r="C208" s="30">
        <f>SUMIF('AP Line Items'!C:C,"INTERCON TRUCK OF BALTIMORE",'AP Line Items'!E:E)</f>
        <v>2896.65</v>
      </c>
      <c r="D208" s="14">
        <f>COUNTIF('AP Line Items'!C:C,"INTERCON TRUCK OF BALTIMORE")</f>
        <v>4</v>
      </c>
      <c r="E208" s="31">
        <f t="shared" si="1"/>
        <v>0.0002488863668</v>
      </c>
    </row>
    <row r="209" ht="15.75" customHeight="1">
      <c r="A209" s="14" t="s">
        <v>280</v>
      </c>
      <c r="B209" s="14" t="s">
        <v>26</v>
      </c>
      <c r="C209" s="30">
        <f>SUMIF('AP Line Items'!C:C,"SUPERIOR PAVING",'AP Line Items'!E:E)</f>
        <v>2800</v>
      </c>
      <c r="D209" s="14">
        <f>COUNTIF('AP Line Items'!C:C,"SUPERIOR PAVING")</f>
        <v>1</v>
      </c>
      <c r="E209" s="31">
        <f t="shared" si="1"/>
        <v>0.000240581992</v>
      </c>
    </row>
    <row r="210" ht="15.75" customHeight="1">
      <c r="A210" s="14" t="s">
        <v>281</v>
      </c>
      <c r="B210" s="14" t="s">
        <v>22</v>
      </c>
      <c r="C210" s="30">
        <f>SUMIF('AP Line Items'!C:C,"GREENLAW SITE AND STORMWATER",'AP Line Items'!E:E)</f>
        <v>2800</v>
      </c>
      <c r="D210" s="14">
        <f>COUNTIF('AP Line Items'!C:C,"GREENLAW SITE AND STORMWATER")</f>
        <v>1</v>
      </c>
      <c r="E210" s="31">
        <f t="shared" si="1"/>
        <v>0.000240581992</v>
      </c>
    </row>
    <row r="211" ht="15.75" customHeight="1">
      <c r="A211" s="14" t="s">
        <v>282</v>
      </c>
      <c r="B211" s="14" t="s">
        <v>18</v>
      </c>
      <c r="C211" s="30">
        <f>SUMIF('AP Line Items'!C:C,"FLEET TITANS",'AP Line Items'!E:E)</f>
        <v>2800</v>
      </c>
      <c r="D211" s="14">
        <f>COUNTIF('AP Line Items'!C:C,"FLEET TITANS")</f>
        <v>1</v>
      </c>
      <c r="E211" s="31">
        <f t="shared" si="1"/>
        <v>0.000240581992</v>
      </c>
    </row>
    <row r="212" ht="15.75" customHeight="1">
      <c r="A212" s="14" t="s">
        <v>283</v>
      </c>
      <c r="B212" s="14" t="s">
        <v>14</v>
      </c>
      <c r="C212" s="30">
        <f>SUMIF('AP Line Items'!C:C,"BEACON ELECTRIC",'AP Line Items'!E:E)</f>
        <v>2794.98</v>
      </c>
      <c r="D212" s="14">
        <f>COUNTIF('AP Line Items'!C:C,"BEACON ELECTRIC")</f>
        <v>2</v>
      </c>
      <c r="E212" s="31">
        <f t="shared" si="1"/>
        <v>0.0002401506628</v>
      </c>
    </row>
    <row r="213" ht="15.75" customHeight="1">
      <c r="A213" s="14" t="s">
        <v>284</v>
      </c>
      <c r="B213" s="14" t="s">
        <v>14</v>
      </c>
      <c r="C213" s="30">
        <f>SUMIF('AP Line Items'!C:C,"TJ / H2B ANALYTICAL SERVICES USA",'AP Line Items'!E:E)</f>
        <v>2783</v>
      </c>
      <c r="D213" s="14">
        <f>COUNTIF('AP Line Items'!C:C,"TJ / H2B ANALYTICAL SERVICES USA")</f>
        <v>2</v>
      </c>
      <c r="E213" s="31">
        <f t="shared" si="1"/>
        <v>0.0002391213156</v>
      </c>
    </row>
    <row r="214" ht="15.75" customHeight="1">
      <c r="A214" s="14" t="s">
        <v>285</v>
      </c>
      <c r="B214" s="14" t="s">
        <v>18</v>
      </c>
      <c r="C214" s="30">
        <f>SUMIF('AP Line Items'!C:C,"EASTERN SURPLUS &amp; EQUIPMENT",'AP Line Items'!E:E)</f>
        <v>2715</v>
      </c>
      <c r="D214" s="14">
        <f>COUNTIF('AP Line Items'!C:C,"EASTERN SURPLUS &amp; EQUIPMENT")</f>
        <v>1</v>
      </c>
      <c r="E214" s="31">
        <f t="shared" si="1"/>
        <v>0.0002332786101</v>
      </c>
    </row>
    <row r="215" ht="15.75" customHeight="1">
      <c r="A215" s="14" t="s">
        <v>286</v>
      </c>
      <c r="B215" s="14" t="s">
        <v>14</v>
      </c>
      <c r="C215" s="30">
        <f>SUMIF('AP Line Items'!C:C,"PIPING &amp; CORROSION SPECIALTIES",'AP Line Items'!E:E)</f>
        <v>2669</v>
      </c>
      <c r="D215" s="14">
        <f>COUNTIF('AP Line Items'!C:C,"PIPING &amp; CORROSION SPECIALTIES")</f>
        <v>2</v>
      </c>
      <c r="E215" s="31">
        <f t="shared" si="1"/>
        <v>0.0002293261916</v>
      </c>
    </row>
    <row r="216" ht="15.75" customHeight="1">
      <c r="A216" s="14" t="s">
        <v>287</v>
      </c>
      <c r="B216" s="14" t="s">
        <v>14</v>
      </c>
      <c r="C216" s="30">
        <f>SUMIF('AP Line Items'!C:C,"BARCO PRODUCTS",'AP Line Items'!E:E)</f>
        <v>2650.85</v>
      </c>
      <c r="D216" s="14">
        <f>COUNTIF('AP Line Items'!C:C,"BARCO PRODUCTS")</f>
        <v>1</v>
      </c>
      <c r="E216" s="31">
        <f t="shared" si="1"/>
        <v>0.0002277667048</v>
      </c>
    </row>
    <row r="217" ht="15.75" customHeight="1">
      <c r="A217" s="14" t="s">
        <v>288</v>
      </c>
      <c r="B217" s="14" t="s">
        <v>14</v>
      </c>
      <c r="C217" s="30">
        <f>SUMIF('AP Line Items'!C:C,"CROPPERS",'AP Line Items'!E:E)</f>
        <v>2627.94</v>
      </c>
      <c r="D217" s="14">
        <f>COUNTIF('AP Line Items'!C:C,"CROPPERS")</f>
        <v>2</v>
      </c>
      <c r="E217" s="31">
        <f t="shared" si="1"/>
        <v>0.0002257982286</v>
      </c>
    </row>
    <row r="218" ht="15.75" customHeight="1">
      <c r="A218" s="14" t="s">
        <v>289</v>
      </c>
      <c r="B218" s="14" t="s">
        <v>14</v>
      </c>
      <c r="C218" s="30">
        <f>SUMIF('AP Line Items'!C:C,"GALLS",'AP Line Items'!E:E)</f>
        <v>2613.34</v>
      </c>
      <c r="D218" s="14">
        <f>COUNTIF('AP Line Items'!C:C,"GALLS")</f>
        <v>6</v>
      </c>
      <c r="E218" s="31">
        <f t="shared" si="1"/>
        <v>0.0002245437653</v>
      </c>
    </row>
    <row r="219" ht="15.75" customHeight="1">
      <c r="A219" s="14" t="s">
        <v>290</v>
      </c>
      <c r="B219" s="14" t="s">
        <v>14</v>
      </c>
      <c r="C219" s="30">
        <f>SUMIF('AP Line Items'!C:C,"J &amp; A BOTTLELESS WATER COOLERS",'AP Line Items'!E:E)</f>
        <v>2603.85</v>
      </c>
      <c r="D219" s="14">
        <f>COUNTIF('AP Line Items'!C:C,"J &amp; A BOTTLELESS WATER COOLERS")</f>
        <v>12</v>
      </c>
      <c r="E219" s="31">
        <f t="shared" si="1"/>
        <v>0.0002237283642</v>
      </c>
    </row>
    <row r="220" ht="15.75" customHeight="1">
      <c r="A220" s="14" t="s">
        <v>291</v>
      </c>
      <c r="B220" s="14" t="s">
        <v>38</v>
      </c>
      <c r="C220" s="30">
        <f>SUMIF('AP Line Items'!C:C,"CINTAS FIRST AID &amp; SAFETY",'AP Line Items'!E:E)</f>
        <v>2593.55</v>
      </c>
      <c r="D220" s="14">
        <f>COUNTIF('AP Line Items'!C:C,"CINTAS FIRST AID &amp; SAFETY")</f>
        <v>18</v>
      </c>
      <c r="E220" s="31">
        <f t="shared" si="1"/>
        <v>0.0002228433662</v>
      </c>
    </row>
    <row r="221" ht="15.75" customHeight="1">
      <c r="A221" s="14" t="s">
        <v>292</v>
      </c>
      <c r="B221" s="14" t="s">
        <v>18</v>
      </c>
      <c r="C221" s="30">
        <f>SUMIF('AP Line Items'!C:C,"US BANK EQUIPMENT FINANCE",'AP Line Items'!E:E)</f>
        <v>2582.23</v>
      </c>
      <c r="D221" s="14">
        <f>COUNTIF('AP Line Items'!C:C,"US BANK EQUIPMENT FINANCE")</f>
        <v>11</v>
      </c>
      <c r="E221" s="31">
        <f t="shared" si="1"/>
        <v>0.0002218707275</v>
      </c>
    </row>
    <row r="222" ht="15.75" customHeight="1">
      <c r="A222" s="14" t="s">
        <v>293</v>
      </c>
      <c r="B222" s="14" t="s">
        <v>14</v>
      </c>
      <c r="C222" s="30">
        <f>SUMIF('AP Line Items'!C:C,"CHARGEPOINT",'AP Line Items'!E:E)</f>
        <v>2544</v>
      </c>
      <c r="D222" s="14">
        <f>COUNTIF('AP Line Items'!C:C,"CHARGEPOINT")</f>
        <v>1</v>
      </c>
      <c r="E222" s="31">
        <f t="shared" si="1"/>
        <v>0.0002185859241</v>
      </c>
    </row>
    <row r="223" ht="15.75" customHeight="1">
      <c r="A223" s="14" t="s">
        <v>294</v>
      </c>
      <c r="B223" s="14" t="s">
        <v>14</v>
      </c>
      <c r="C223" s="30">
        <f>SUMIF('AP Line Items'!C:C,"PENINSULA AUTO &amp; TRUCK PARTS",'AP Line Items'!E:E)</f>
        <v>2520.24</v>
      </c>
      <c r="D223" s="14">
        <f>COUNTIF('AP Line Items'!C:C,"PENINSULA AUTO &amp; TRUCK PARTS")</f>
        <v>10</v>
      </c>
      <c r="E223" s="31">
        <f t="shared" si="1"/>
        <v>0.0002165444141</v>
      </c>
    </row>
    <row r="224" ht="15.75" customHeight="1">
      <c r="A224" s="14" t="s">
        <v>295</v>
      </c>
      <c r="B224" s="14" t="s">
        <v>14</v>
      </c>
      <c r="C224" s="30">
        <f>SUMIF('AP Line Items'!C:C,"TOM SHOLTIS",'AP Line Items'!E:E)</f>
        <v>2440</v>
      </c>
      <c r="D224" s="14">
        <f>COUNTIF('AP Line Items'!C:C,"TOM SHOLTIS")</f>
        <v>1</v>
      </c>
      <c r="E224" s="31">
        <f t="shared" si="1"/>
        <v>0.0002096500216</v>
      </c>
    </row>
    <row r="225" ht="15.75" customHeight="1">
      <c r="A225" s="14" t="s">
        <v>296</v>
      </c>
      <c r="B225" s="14" t="s">
        <v>14</v>
      </c>
      <c r="C225" s="30">
        <f>SUMIF('AP Line Items'!C:C,"EAST JORDAN IRON WORKS",'AP Line Items'!E:E)</f>
        <v>2429.34</v>
      </c>
      <c r="D225" s="14">
        <f>COUNTIF('AP Line Items'!C:C,"EAST JORDAN IRON WORKS")</f>
        <v>1</v>
      </c>
      <c r="E225" s="31">
        <f t="shared" si="1"/>
        <v>0.0002087340916</v>
      </c>
    </row>
    <row r="226" ht="15.75" customHeight="1">
      <c r="A226" s="14" t="s">
        <v>297</v>
      </c>
      <c r="B226" s="14" t="s">
        <v>14</v>
      </c>
      <c r="C226" s="30">
        <f>SUMIF('AP Line Items'!C:C,"MILES PARTNERSHIP LLLP",'AP Line Items'!E:E)</f>
        <v>2420</v>
      </c>
      <c r="D226" s="14">
        <f>COUNTIF('AP Line Items'!C:C,"MILES PARTNERSHIP LLLP")</f>
        <v>1</v>
      </c>
      <c r="E226" s="31">
        <f t="shared" si="1"/>
        <v>0.0002079315788</v>
      </c>
    </row>
    <row r="227" ht="15.75" customHeight="1">
      <c r="A227" s="14" t="s">
        <v>298</v>
      </c>
      <c r="B227" s="14" t="s">
        <v>16</v>
      </c>
      <c r="C227" s="30">
        <f>SUMIF('AP Line Items'!C:C,"TRANSAMERICA",'AP Line Items'!E:E)</f>
        <v>2371.88</v>
      </c>
      <c r="D227" s="14">
        <f>COUNTIF('AP Line Items'!C:C,"TRANSAMERICA")</f>
        <v>15</v>
      </c>
      <c r="E227" s="31">
        <f t="shared" si="1"/>
        <v>0.0002037970054</v>
      </c>
    </row>
    <row r="228" ht="15.75" customHeight="1">
      <c r="A228" s="14" t="s">
        <v>299</v>
      </c>
      <c r="B228" s="14" t="s">
        <v>14</v>
      </c>
      <c r="C228" s="30">
        <f>SUMIF('AP Line Items'!C:C,"ENVIREP",'AP Line Items'!E:E)</f>
        <v>2325</v>
      </c>
      <c r="D228" s="14">
        <f>COUNTIF('AP Line Items'!C:C,"ENVIREP")</f>
        <v>1</v>
      </c>
      <c r="E228" s="31">
        <f t="shared" si="1"/>
        <v>0.0001997689755</v>
      </c>
    </row>
    <row r="229" ht="15.75" customHeight="1">
      <c r="A229" s="14" t="s">
        <v>300</v>
      </c>
      <c r="B229" s="14" t="s">
        <v>14</v>
      </c>
      <c r="C229" s="30">
        <f>SUMIF('AP Line Items'!C:C,"ARCTIC HEATING &amp; AIR",'AP Line Items'!E:E)</f>
        <v>2321</v>
      </c>
      <c r="D229" s="14">
        <f>COUNTIF('AP Line Items'!C:C,"ARCTIC HEATING &amp; AIR")</f>
        <v>6</v>
      </c>
      <c r="E229" s="31">
        <f t="shared" si="1"/>
        <v>0.0001994252869</v>
      </c>
    </row>
    <row r="230" ht="15.75" customHeight="1">
      <c r="A230" s="14" t="s">
        <v>301</v>
      </c>
      <c r="B230" s="14" t="s">
        <v>14</v>
      </c>
      <c r="C230" s="30">
        <f>SUMIF('AP Line Items'!C:C,"EASTERN SHORE MOBILE DRUG &amp; ALCOHOL TESTING",'AP Line Items'!E:E)</f>
        <v>2239.4</v>
      </c>
      <c r="D230" s="14">
        <f>COUNTIF('AP Line Items'!C:C,"EASTERN SHORE MOBILE DRUG &amp; ALCOHOL TESTING")</f>
        <v>6</v>
      </c>
      <c r="E230" s="31">
        <f t="shared" si="1"/>
        <v>0.0001924140403</v>
      </c>
    </row>
    <row r="231" ht="15.75" customHeight="1">
      <c r="A231" s="14" t="s">
        <v>302</v>
      </c>
      <c r="B231" s="14" t="s">
        <v>14</v>
      </c>
      <c r="C231" s="30">
        <f>SUMIF('AP Line Items'!C:C,"HERC RENTALS",'AP Line Items'!E:E)</f>
        <v>2073.09</v>
      </c>
      <c r="D231" s="14">
        <f>COUNTIF('AP Line Items'!C:C,"HERC RENTALS")</f>
        <v>2</v>
      </c>
      <c r="E231" s="31">
        <f t="shared" si="1"/>
        <v>0.0001781243292</v>
      </c>
    </row>
    <row r="232" ht="15.75" customHeight="1">
      <c r="A232" s="14" t="s">
        <v>303</v>
      </c>
      <c r="B232" s="14" t="s">
        <v>14</v>
      </c>
      <c r="C232" s="30">
        <f>SUMIF('AP Line Items'!C:C,"COUNTYWEBSITECOM",'AP Line Items'!E:E)</f>
        <v>1995</v>
      </c>
      <c r="D232" s="14">
        <f>COUNTIF('AP Line Items'!C:C,"COUNTYWEBSITECOM")</f>
        <v>1</v>
      </c>
      <c r="E232" s="31">
        <f t="shared" si="1"/>
        <v>0.0001714146693</v>
      </c>
    </row>
    <row r="233" ht="15.75" customHeight="1">
      <c r="A233" s="14" t="s">
        <v>304</v>
      </c>
      <c r="B233" s="14" t="s">
        <v>14</v>
      </c>
      <c r="C233" s="30">
        <f>SUMIF('AP Line Items'!C:C,"QUILL",'AP Line Items'!E:E)</f>
        <v>1956</v>
      </c>
      <c r="D233" s="14">
        <f>COUNTIF('AP Line Items'!C:C,"QUILL")</f>
        <v>2</v>
      </c>
      <c r="E233" s="31">
        <f t="shared" si="1"/>
        <v>0.0001680637058</v>
      </c>
    </row>
    <row r="234" ht="15.75" customHeight="1">
      <c r="A234" s="14" t="s">
        <v>305</v>
      </c>
      <c r="B234" s="14" t="s">
        <v>14</v>
      </c>
      <c r="C234" s="30">
        <f>SUMIF('AP Line Items'!C:C,"GILLESPIE PRECAST",'AP Line Items'!E:E)</f>
        <v>1955.95</v>
      </c>
      <c r="D234" s="14">
        <f>COUNTIF('AP Line Items'!C:C,"GILLESPIE PRECAST")</f>
        <v>1</v>
      </c>
      <c r="E234" s="31">
        <f t="shared" si="1"/>
        <v>0.0001680594097</v>
      </c>
    </row>
    <row r="235" ht="15.75" customHeight="1">
      <c r="A235" s="14" t="s">
        <v>306</v>
      </c>
      <c r="B235" s="14" t="s">
        <v>18</v>
      </c>
      <c r="C235" s="30">
        <f>SUMIF('AP Line Items'!C:C,"FLEET SERVICES",'AP Line Items'!E:E)</f>
        <v>1880.39</v>
      </c>
      <c r="D235" s="14">
        <f>COUNTIF('AP Line Items'!C:C,"FLEET SERVICES")</f>
        <v>2</v>
      </c>
      <c r="E235" s="31">
        <f t="shared" si="1"/>
        <v>0.0001615671328</v>
      </c>
    </row>
    <row r="236" ht="15.75" customHeight="1">
      <c r="A236" s="14" t="s">
        <v>307</v>
      </c>
      <c r="B236" s="14" t="s">
        <v>14</v>
      </c>
      <c r="C236" s="30">
        <f>SUMIF('AP Line Items'!C:C,"AQUA-AEROBIC SYSTEMS INCORP",'AP Line Items'!E:E)</f>
        <v>1849.27</v>
      </c>
      <c r="D236" s="14">
        <f>COUNTIF('AP Line Items'!C:C,"AQUA-AEROBIC SYSTEMS INCORP")</f>
        <v>1</v>
      </c>
      <c r="E236" s="31">
        <f t="shared" si="1"/>
        <v>0.0001588932358</v>
      </c>
    </row>
    <row r="237" ht="15.75" customHeight="1">
      <c r="A237" s="14" t="s">
        <v>308</v>
      </c>
      <c r="B237" s="14" t="s">
        <v>14</v>
      </c>
      <c r="C237" s="30">
        <f>SUMIF('AP Line Items'!C:C,"CHANTAL GARTNER",'AP Line Items'!E:E)</f>
        <v>1800</v>
      </c>
      <c r="D237" s="14">
        <f>COUNTIF('AP Line Items'!C:C,"CHANTAL GARTNER")</f>
        <v>1</v>
      </c>
      <c r="E237" s="31">
        <f t="shared" si="1"/>
        <v>0.000154659852</v>
      </c>
    </row>
    <row r="238" ht="15.75" customHeight="1">
      <c r="A238" s="14" t="s">
        <v>309</v>
      </c>
      <c r="B238" s="14" t="s">
        <v>14</v>
      </c>
      <c r="C238" s="30">
        <f>SUMIF('AP Line Items'!C:C,"FEEDWATER TREATMENT SYSTEMS",'AP Line Items'!E:E)</f>
        <v>1798.5</v>
      </c>
      <c r="D238" s="14">
        <f>COUNTIF('AP Line Items'!C:C,"FEEDWATER TREATMENT SYSTEMS")</f>
        <v>1</v>
      </c>
      <c r="E238" s="31">
        <f t="shared" si="1"/>
        <v>0.0001545309688</v>
      </c>
    </row>
    <row r="239" ht="15.75" customHeight="1">
      <c r="A239" s="14" t="s">
        <v>310</v>
      </c>
      <c r="B239" s="14" t="s">
        <v>14</v>
      </c>
      <c r="C239" s="30">
        <f>SUMIF('AP Line Items'!C:C,"ARTISTIC BRONZE",'AP Line Items'!E:E)</f>
        <v>1775</v>
      </c>
      <c r="D239" s="14">
        <f>COUNTIF('AP Line Items'!C:C,"ARTISTIC BRONZE")</f>
        <v>1</v>
      </c>
      <c r="E239" s="31">
        <f t="shared" si="1"/>
        <v>0.0001525117985</v>
      </c>
    </row>
    <row r="240" ht="15.75" customHeight="1">
      <c r="A240" s="14" t="s">
        <v>311</v>
      </c>
      <c r="B240" s="14" t="s">
        <v>14</v>
      </c>
      <c r="C240" s="30">
        <f>SUMIF('AP Line Items'!C:C,"ULINE",'AP Line Items'!E:E)</f>
        <v>1773.99</v>
      </c>
      <c r="D240" s="14">
        <f>COUNTIF('AP Line Items'!C:C,"ULINE")</f>
        <v>3</v>
      </c>
      <c r="E240" s="31">
        <f t="shared" si="1"/>
        <v>0.0001524250171</v>
      </c>
    </row>
    <row r="241" ht="15.75" customHeight="1">
      <c r="A241" s="14" t="s">
        <v>312</v>
      </c>
      <c r="B241" s="14" t="s">
        <v>38</v>
      </c>
      <c r="C241" s="30">
        <f>SUMIF('AP Line Items'!C:C,"BRASURE'S PEST CONTROL",'AP Line Items'!E:E)</f>
        <v>1764</v>
      </c>
      <c r="D241" s="14">
        <f>COUNTIF('AP Line Items'!C:C,"BRASURE'S PEST CONTROL")</f>
        <v>9</v>
      </c>
      <c r="E241" s="31">
        <f t="shared" si="1"/>
        <v>0.0001515666549</v>
      </c>
    </row>
    <row r="242" ht="15.75" customHeight="1">
      <c r="A242" s="14" t="s">
        <v>313</v>
      </c>
      <c r="B242" s="14" t="s">
        <v>14</v>
      </c>
      <c r="C242" s="30">
        <f>SUMIF('AP Line Items'!C:C,"THE EDELWEISS BAND",'AP Line Items'!E:E)</f>
        <v>1625</v>
      </c>
      <c r="D242" s="14">
        <f>COUNTIF('AP Line Items'!C:C,"THE EDELWEISS BAND")</f>
        <v>1</v>
      </c>
      <c r="E242" s="31">
        <f t="shared" si="1"/>
        <v>0.0001396234775</v>
      </c>
    </row>
    <row r="243" ht="15.75" customHeight="1">
      <c r="A243" s="14" t="s">
        <v>314</v>
      </c>
      <c r="B243" s="14" t="s">
        <v>14</v>
      </c>
      <c r="C243" s="30">
        <f>SUMIF('AP Line Items'!C:C,"MARYLAND DEPT OF THE ENVIRONMENT",'AP Line Items'!E:E)</f>
        <v>1623.19</v>
      </c>
      <c r="D243" s="14">
        <f>COUNTIF('AP Line Items'!C:C,"MARYLAND DEPT OF THE ENVIRONMENT")</f>
        <v>7</v>
      </c>
      <c r="E243" s="31">
        <f t="shared" si="1"/>
        <v>0.0001394679584</v>
      </c>
    </row>
    <row r="244" ht="15.75" customHeight="1">
      <c r="A244" s="14" t="s">
        <v>315</v>
      </c>
      <c r="B244" s="14" t="s">
        <v>40</v>
      </c>
      <c r="C244" s="30">
        <f>SUMIF('AP Line Items'!C:C,"GOVERNMENT FINANCE OFFICERS ASSOCIATION",'AP Line Items'!E:E)</f>
        <v>1605</v>
      </c>
      <c r="D244" s="14">
        <f>COUNTIF('AP Line Items'!C:C,"GOVERNMENT FINANCE OFFICERS ASSOCIATION")</f>
        <v>2</v>
      </c>
      <c r="E244" s="31">
        <f t="shared" si="1"/>
        <v>0.0001379050347</v>
      </c>
    </row>
    <row r="245" ht="15.75" customHeight="1">
      <c r="A245" s="14" t="s">
        <v>316</v>
      </c>
      <c r="B245" s="14" t="s">
        <v>20</v>
      </c>
      <c r="C245" s="30">
        <f>SUMIF('AP Line Items'!C:C,"VISION METERING",'AP Line Items'!E:E)</f>
        <v>1580</v>
      </c>
      <c r="D245" s="14">
        <f>COUNTIF('AP Line Items'!C:C,"VISION METERING")</f>
        <v>3</v>
      </c>
      <c r="E245" s="31">
        <f t="shared" si="1"/>
        <v>0.0001357569812</v>
      </c>
    </row>
    <row r="246" ht="15.75" customHeight="1">
      <c r="A246" s="14" t="s">
        <v>317</v>
      </c>
      <c r="B246" s="14" t="s">
        <v>14</v>
      </c>
      <c r="C246" s="30">
        <f>SUMIF('AP Line Items'!C:C,"REESE TRANSPORTATION",'AP Line Items'!E:E)</f>
        <v>1575</v>
      </c>
      <c r="D246" s="14">
        <f>COUNTIF('AP Line Items'!C:C,"REESE TRANSPORTATION")</f>
        <v>1</v>
      </c>
      <c r="E246" s="31">
        <f t="shared" si="1"/>
        <v>0.0001353273705</v>
      </c>
    </row>
    <row r="247" ht="15.75" customHeight="1">
      <c r="A247" s="14" t="s">
        <v>318</v>
      </c>
      <c r="B247" s="14" t="s">
        <v>20</v>
      </c>
      <c r="C247" s="30">
        <f>SUMIF('AP Line Items'!C:C,"MD DC UTILITY ASSOCIATION",'AP Line Items'!E:E)</f>
        <v>1500</v>
      </c>
      <c r="D247" s="14">
        <f>COUNTIF('AP Line Items'!C:C,"MD DC UTILITY ASSOCIATION")</f>
        <v>1</v>
      </c>
      <c r="E247" s="31">
        <f t="shared" si="1"/>
        <v>0.00012888321</v>
      </c>
    </row>
    <row r="248" ht="15.75" customHeight="1">
      <c r="A248" s="14" t="s">
        <v>319</v>
      </c>
      <c r="B248" s="14" t="s">
        <v>14</v>
      </c>
      <c r="C248" s="30">
        <f>SUMIF('AP Line Items'!C:C,"EVERETT A SPELLS",'AP Line Items'!E:E)</f>
        <v>1500</v>
      </c>
      <c r="D248" s="14">
        <f>COUNTIF('AP Line Items'!C:C,"EVERETT A SPELLS")</f>
        <v>7</v>
      </c>
      <c r="E248" s="31">
        <f t="shared" si="1"/>
        <v>0.00012888321</v>
      </c>
    </row>
    <row r="249" ht="15.75" customHeight="1">
      <c r="A249" s="14" t="s">
        <v>320</v>
      </c>
      <c r="B249" s="14" t="s">
        <v>14</v>
      </c>
      <c r="C249" s="30">
        <f>SUMIF('AP Line Items'!C:C,"MDGFOA",'AP Line Items'!E:E)</f>
        <v>1500</v>
      </c>
      <c r="D249" s="14">
        <f>COUNTIF('AP Line Items'!C:C,"MDGFOA")</f>
        <v>2</v>
      </c>
      <c r="E249" s="31">
        <f t="shared" si="1"/>
        <v>0.00012888321</v>
      </c>
    </row>
    <row r="250" ht="15.75" customHeight="1">
      <c r="A250" s="14" t="s">
        <v>321</v>
      </c>
      <c r="B250" s="14" t="s">
        <v>14</v>
      </c>
      <c r="C250" s="30">
        <f>SUMIF('AP Line Items'!C:C,"STATE VENTURES",'AP Line Items'!E:E)</f>
        <v>1500</v>
      </c>
      <c r="D250" s="14">
        <f>COUNTIF('AP Line Items'!C:C,"STATE VENTURES")</f>
        <v>1</v>
      </c>
      <c r="E250" s="31">
        <f t="shared" si="1"/>
        <v>0.00012888321</v>
      </c>
    </row>
    <row r="251" ht="15.75" customHeight="1">
      <c r="A251" s="14" t="s">
        <v>322</v>
      </c>
      <c r="B251" s="14" t="s">
        <v>14</v>
      </c>
      <c r="C251" s="30">
        <f>SUMIF('AP Line Items'!C:C,"JAMES MILLER",'AP Line Items'!E:E)</f>
        <v>1500</v>
      </c>
      <c r="D251" s="14">
        <f>COUNTIF('AP Line Items'!C:C,"JAMES MILLER")</f>
        <v>1</v>
      </c>
      <c r="E251" s="31">
        <f t="shared" si="1"/>
        <v>0.00012888321</v>
      </c>
    </row>
    <row r="252" ht="15.75" customHeight="1">
      <c r="A252" s="14" t="s">
        <v>323</v>
      </c>
      <c r="B252" s="14" t="s">
        <v>14</v>
      </c>
      <c r="C252" s="30">
        <f>SUMIF('AP Line Items'!C:C,"BELAIR ROAD SUPPLY",'AP Line Items'!E:E)</f>
        <v>1488.92</v>
      </c>
      <c r="D252" s="14">
        <f>COUNTIF('AP Line Items'!C:C,"BELAIR ROAD SUPPLY")</f>
        <v>2</v>
      </c>
      <c r="E252" s="31">
        <f t="shared" si="1"/>
        <v>0.0001279311927</v>
      </c>
    </row>
    <row r="253" ht="15.75" customHeight="1">
      <c r="A253" s="14" t="s">
        <v>324</v>
      </c>
      <c r="B253" s="14" t="s">
        <v>14</v>
      </c>
      <c r="C253" s="30">
        <f>SUMIF('AP Line Items'!C:C,"RACE TRACK AUTO BODY &amp; MARINE",'AP Line Items'!E:E)</f>
        <v>1487.58</v>
      </c>
      <c r="D253" s="14">
        <f>COUNTIF('AP Line Items'!C:C,"RACE TRACK AUTO BODY &amp; MARINE")</f>
        <v>2</v>
      </c>
      <c r="E253" s="31">
        <f t="shared" si="1"/>
        <v>0.000127816057</v>
      </c>
    </row>
    <row r="254" ht="15.75" customHeight="1">
      <c r="A254" s="14" t="s">
        <v>325</v>
      </c>
      <c r="B254" s="14" t="s">
        <v>14</v>
      </c>
      <c r="C254" s="30">
        <f>SUMIF('AP Line Items'!C:C,"DOVER PLUMBING",'AP Line Items'!E:E)</f>
        <v>1471.2</v>
      </c>
      <c r="D254" s="14">
        <f>COUNTIF('AP Line Items'!C:C,"DOVER PLUMBING")</f>
        <v>1</v>
      </c>
      <c r="E254" s="31">
        <f t="shared" si="1"/>
        <v>0.0001264086523</v>
      </c>
    </row>
    <row r="255" ht="15.75" customHeight="1">
      <c r="A255" s="14" t="s">
        <v>326</v>
      </c>
      <c r="B255" s="14" t="s">
        <v>14</v>
      </c>
      <c r="C255" s="30">
        <f>SUMIF('AP Line Items'!C:C,"MARYLAND INDUSTRIAL TRUCKS",'AP Line Items'!E:E)</f>
        <v>1431.48</v>
      </c>
      <c r="D255" s="14">
        <f>COUNTIF('AP Line Items'!C:C,"MARYLAND INDUSTRIAL TRUCKS")</f>
        <v>1</v>
      </c>
      <c r="E255" s="31">
        <f t="shared" si="1"/>
        <v>0.0001229958249</v>
      </c>
    </row>
    <row r="256" ht="15.75" customHeight="1">
      <c r="A256" s="14" t="s">
        <v>327</v>
      </c>
      <c r="B256" s="14" t="s">
        <v>14</v>
      </c>
      <c r="C256" s="30">
        <f>SUMIF('AP Line Items'!C:C,"BERLIN FOP LODGE 136",'AP Line Items'!E:E)</f>
        <v>1430</v>
      </c>
      <c r="D256" s="14">
        <f>COUNTIF('AP Line Items'!C:C,"BERLIN FOP LODGE 136")</f>
        <v>1</v>
      </c>
      <c r="E256" s="31">
        <f t="shared" si="1"/>
        <v>0.0001228686602</v>
      </c>
    </row>
    <row r="257" ht="15.75" customHeight="1">
      <c r="A257" s="14" t="s">
        <v>328</v>
      </c>
      <c r="B257" s="14" t="s">
        <v>36</v>
      </c>
      <c r="C257" s="30">
        <f>SUMIF('AP Line Items'!C:C,"VERIZON BUSINESS",'AP Line Items'!E:E)</f>
        <v>1405.78</v>
      </c>
      <c r="D257" s="14">
        <f>COUNTIF('AP Line Items'!C:C,"VERIZON BUSINESS")</f>
        <v>13</v>
      </c>
      <c r="E257" s="31">
        <f t="shared" si="1"/>
        <v>0.000120787626</v>
      </c>
    </row>
    <row r="258" ht="15.75" customHeight="1">
      <c r="A258" s="14" t="s">
        <v>329</v>
      </c>
      <c r="B258" s="14" t="s">
        <v>14</v>
      </c>
      <c r="C258" s="30">
        <f>SUMIF('AP Line Items'!C:C,"DPSCS - ITCD",'AP Line Items'!E:E)</f>
        <v>1386</v>
      </c>
      <c r="D258" s="14">
        <f>COUNTIF('AP Line Items'!C:C,"DPSCS - ITCD")</f>
        <v>10</v>
      </c>
      <c r="E258" s="31">
        <f t="shared" si="1"/>
        <v>0.000119088086</v>
      </c>
    </row>
    <row r="259" ht="15.75" customHeight="1">
      <c r="A259" s="14" t="s">
        <v>330</v>
      </c>
      <c r="B259" s="14" t="s">
        <v>40</v>
      </c>
      <c r="C259" s="30">
        <f>SUMIF('AP Line Items'!C:C,"ABC PRINTERS",'AP Line Items'!E:E)</f>
        <v>1367</v>
      </c>
      <c r="D259" s="14">
        <f>COUNTIF('AP Line Items'!C:C,"ABC PRINTERS")</f>
        <v>4</v>
      </c>
      <c r="E259" s="31">
        <f t="shared" si="1"/>
        <v>0.0001174555654</v>
      </c>
    </row>
    <row r="260" ht="15.75" customHeight="1">
      <c r="A260" s="14" t="s">
        <v>331</v>
      </c>
      <c r="B260" s="14" t="s">
        <v>14</v>
      </c>
      <c r="C260" s="30">
        <f>SUMIF('AP Line Items'!C:C,"FORTUNE BRIAN",'AP Line Items'!E:E)</f>
        <v>1365.12</v>
      </c>
      <c r="D260" s="14">
        <f>COUNTIF('AP Line Items'!C:C,"FORTUNE BRIAN")</f>
        <v>2</v>
      </c>
      <c r="E260" s="31">
        <f t="shared" si="1"/>
        <v>0.0001172940317</v>
      </c>
    </row>
    <row r="261" ht="15.75" customHeight="1">
      <c r="A261" s="14" t="s">
        <v>332</v>
      </c>
      <c r="B261" s="14" t="s">
        <v>14</v>
      </c>
      <c r="C261" s="30">
        <f>SUMIF('AP Line Items'!C:C,"PITCHED MEDIA",'AP Line Items'!E:E)</f>
        <v>1357.15</v>
      </c>
      <c r="D261" s="14">
        <f>COUNTIF('AP Line Items'!C:C,"PITCHED MEDIA")</f>
        <v>1</v>
      </c>
      <c r="E261" s="31">
        <f t="shared" si="1"/>
        <v>0.0001166092323</v>
      </c>
    </row>
    <row r="262" ht="15.75" customHeight="1">
      <c r="A262" s="14" t="s">
        <v>333</v>
      </c>
      <c r="B262" s="14" t="s">
        <v>14</v>
      </c>
      <c r="C262" s="30">
        <f>SUMIF('AP Line Items'!C:C,"ROMMEL'S ACE HOME CENTER",'AP Line Items'!E:E)</f>
        <v>1349.95</v>
      </c>
      <c r="D262" s="14">
        <f>COUNTIF('AP Line Items'!C:C,"ROMMEL'S ACE HOME CENTER")</f>
        <v>1</v>
      </c>
      <c r="E262" s="31">
        <f t="shared" si="1"/>
        <v>0.0001159905929</v>
      </c>
    </row>
    <row r="263" ht="15.75" customHeight="1">
      <c r="A263" s="14" t="s">
        <v>334</v>
      </c>
      <c r="B263" s="14" t="s">
        <v>14</v>
      </c>
      <c r="C263" s="30">
        <f>SUMIF('AP Line Items'!C:C,"KEEN COMPRESS GAS",'AP Line Items'!E:E)</f>
        <v>1315.76</v>
      </c>
      <c r="D263" s="14">
        <f>COUNTIF('AP Line Items'!C:C,"KEEN COMPRESS GAS")</f>
        <v>4</v>
      </c>
      <c r="E263" s="31">
        <f t="shared" si="1"/>
        <v>0.0001130529149</v>
      </c>
    </row>
    <row r="264" ht="15.75" customHeight="1">
      <c r="A264" s="14" t="s">
        <v>335</v>
      </c>
      <c r="B264" s="14" t="s">
        <v>14</v>
      </c>
      <c r="C264" s="30">
        <f>SUMIF('AP Line Items'!C:C,"BLUE PEAK LOGIC",'AP Line Items'!E:E)</f>
        <v>1290</v>
      </c>
      <c r="D264" s="14">
        <f>COUNTIF('AP Line Items'!C:C,"BLUE PEAK LOGIC")</f>
        <v>1</v>
      </c>
      <c r="E264" s="31">
        <f t="shared" si="1"/>
        <v>0.0001108395606</v>
      </c>
    </row>
    <row r="265" ht="15.75" customHeight="1">
      <c r="A265" s="14" t="s">
        <v>336</v>
      </c>
      <c r="B265" s="14" t="s">
        <v>14</v>
      </c>
      <c r="C265" s="30">
        <f>SUMIF('AP Line Items'!C:C,"IAN JANES",'AP Line Items'!E:E)</f>
        <v>1250</v>
      </c>
      <c r="D265" s="14">
        <f>COUNTIF('AP Line Items'!C:C,"IAN JANES")</f>
        <v>2</v>
      </c>
      <c r="E265" s="31">
        <f t="shared" si="1"/>
        <v>0.000107402675</v>
      </c>
    </row>
    <row r="266" ht="15.75" customHeight="1">
      <c r="A266" s="14" t="s">
        <v>337</v>
      </c>
      <c r="B266" s="14" t="s">
        <v>14</v>
      </c>
      <c r="C266" s="30">
        <f>SUMIF('AP Line Items'!C:C,"ETSI",'AP Line Items'!E:E)</f>
        <v>1234.28</v>
      </c>
      <c r="D266" s="14">
        <f>COUNTIF('AP Line Items'!C:C,"ETSI")</f>
        <v>1</v>
      </c>
      <c r="E266" s="31">
        <f t="shared" si="1"/>
        <v>0.0001060519789</v>
      </c>
    </row>
    <row r="267" ht="15.75" customHeight="1">
      <c r="A267" s="14" t="s">
        <v>338</v>
      </c>
      <c r="B267" s="14" t="s">
        <v>16</v>
      </c>
      <c r="C267" s="30">
        <f>SUMIF('AP Line Items'!C:C,"UNITED WAY OF THE EASTERN SHORE",'AP Line Items'!E:E)</f>
        <v>1230</v>
      </c>
      <c r="D267" s="14">
        <f>COUNTIF('AP Line Items'!C:C,"UNITED WAY OF THE EASTERN SHORE")</f>
        <v>25</v>
      </c>
      <c r="E267" s="31">
        <f t="shared" si="1"/>
        <v>0.0001056842322</v>
      </c>
    </row>
    <row r="268" ht="15.75" customHeight="1">
      <c r="A268" s="14" t="s">
        <v>339</v>
      </c>
      <c r="B268" s="14" t="s">
        <v>14</v>
      </c>
      <c r="C268" s="30">
        <f>SUMIF('AP Line Items'!C:C,"JOHN FUNK JR T/A SHORITE CONTROLLS",'AP Line Items'!E:E)</f>
        <v>1225.41</v>
      </c>
      <c r="D268" s="14">
        <f>COUNTIF('AP Line Items'!C:C,"JOHN FUNK JR T/A SHORITE CONTROLLS")</f>
        <v>1</v>
      </c>
      <c r="E268" s="31">
        <f t="shared" si="1"/>
        <v>0.0001052898496</v>
      </c>
    </row>
    <row r="269" ht="15.75" customHeight="1">
      <c r="A269" s="14" t="s">
        <v>340</v>
      </c>
      <c r="B269" s="14" t="s">
        <v>14</v>
      </c>
      <c r="C269" s="30">
        <f>SUMIF('AP Line Items'!C:C,"ROBERT CHREST",'AP Line Items'!E:E)</f>
        <v>1200</v>
      </c>
      <c r="D269" s="14">
        <f>COUNTIF('AP Line Items'!C:C,"ROBERT CHREST")</f>
        <v>1</v>
      </c>
      <c r="E269" s="31">
        <f t="shared" si="1"/>
        <v>0.000103106568</v>
      </c>
    </row>
    <row r="270" ht="15.75" customHeight="1">
      <c r="A270" s="14" t="s">
        <v>341</v>
      </c>
      <c r="B270" s="14" t="s">
        <v>40</v>
      </c>
      <c r="C270" s="30">
        <f>SUMIF('AP Line Items'!C:C,"4IMPRINT",'AP Line Items'!E:E)</f>
        <v>1191.26</v>
      </c>
      <c r="D270" s="14">
        <f>COUNTIF('AP Line Items'!C:C,"4IMPRINT")</f>
        <v>1</v>
      </c>
      <c r="E270" s="31">
        <f t="shared" si="1"/>
        <v>0.0001023556085</v>
      </c>
    </row>
    <row r="271" ht="15.75" customHeight="1">
      <c r="A271" s="14" t="s">
        <v>342</v>
      </c>
      <c r="B271" s="14" t="s">
        <v>14</v>
      </c>
      <c r="C271" s="30">
        <f>SUMIF('AP Line Items'!C:C,"HARRIS -PSPC",'AP Line Items'!E:E)</f>
        <v>1178</v>
      </c>
      <c r="D271" s="14">
        <f>COUNTIF('AP Line Items'!C:C,"HARRIS -PSPC")</f>
        <v>1</v>
      </c>
      <c r="E271" s="31">
        <f t="shared" si="1"/>
        <v>0.0001012162809</v>
      </c>
    </row>
    <row r="272" ht="15.75" customHeight="1">
      <c r="A272" s="14" t="s">
        <v>343</v>
      </c>
      <c r="B272" s="14" t="s">
        <v>14</v>
      </c>
      <c r="C272" s="30">
        <f>SUMIF('AP Line Items'!C:C,"FISHER SCIENTIFIC",'AP Line Items'!E:E)</f>
        <v>1162.97</v>
      </c>
      <c r="D272" s="14">
        <f>COUNTIF('AP Line Items'!C:C,"FISHER SCIENTIFIC")</f>
        <v>4</v>
      </c>
      <c r="E272" s="31">
        <f t="shared" si="1"/>
        <v>0.00009992487114</v>
      </c>
    </row>
    <row r="273" ht="15.75" customHeight="1">
      <c r="A273" s="14" t="s">
        <v>344</v>
      </c>
      <c r="B273" s="14" t="s">
        <v>14</v>
      </c>
      <c r="C273" s="30">
        <f>SUMIF('AP Line Items'!C:C,"ACTION ISLAND GRAPHICS",'AP Line Items'!E:E)</f>
        <v>1155.38</v>
      </c>
      <c r="D273" s="14">
        <f>COUNTIF('AP Line Items'!C:C,"ACTION ISLAND GRAPHICS")</f>
        <v>6</v>
      </c>
      <c r="E273" s="31">
        <f t="shared" si="1"/>
        <v>0.0000992727221</v>
      </c>
    </row>
    <row r="274" ht="15.75" customHeight="1">
      <c r="A274" s="14" t="s">
        <v>345</v>
      </c>
      <c r="B274" s="14" t="s">
        <v>14</v>
      </c>
      <c r="C274" s="30">
        <f>SUMIF('AP Line Items'!C:C,"SHORITE CONTROLS",'AP Line Items'!E:E)</f>
        <v>1150</v>
      </c>
      <c r="D274" s="14">
        <f>COUNTIF('AP Line Items'!C:C,"SHORITE CONTROLS")</f>
        <v>2</v>
      </c>
      <c r="E274" s="31">
        <f t="shared" si="1"/>
        <v>0.00009881046099</v>
      </c>
    </row>
    <row r="275" ht="15.75" customHeight="1">
      <c r="A275" s="14" t="s">
        <v>346</v>
      </c>
      <c r="B275" s="14" t="s">
        <v>14</v>
      </c>
      <c r="C275" s="30">
        <f>SUMIF('AP Line Items'!C:C,"ZEP SALES &amp; SERVICE",'AP Line Items'!E:E)</f>
        <v>1112.48</v>
      </c>
      <c r="D275" s="14">
        <f>COUNTIF('AP Line Items'!C:C,"ZEP SALES &amp; SERVICE")</f>
        <v>2</v>
      </c>
      <c r="E275" s="31">
        <f t="shared" si="1"/>
        <v>0.00009558666229</v>
      </c>
    </row>
    <row r="276" ht="15.75" customHeight="1">
      <c r="A276" s="14" t="s">
        <v>347</v>
      </c>
      <c r="B276" s="14" t="s">
        <v>14</v>
      </c>
      <c r="C276" s="30">
        <f>SUMIF('AP Line Items'!C:C,"FIDELITY POWER SYSTEMS",'AP Line Items'!E:E)</f>
        <v>1112</v>
      </c>
      <c r="D276" s="14">
        <f>COUNTIF('AP Line Items'!C:C,"FIDELITY POWER SYSTEMS")</f>
        <v>1</v>
      </c>
      <c r="E276" s="31">
        <f t="shared" si="1"/>
        <v>0.00009554541967</v>
      </c>
    </row>
    <row r="277" ht="15.75" customHeight="1">
      <c r="A277" s="14" t="s">
        <v>348</v>
      </c>
      <c r="B277" s="14" t="s">
        <v>14</v>
      </c>
      <c r="C277" s="30">
        <f>SUMIF('AP Line Items'!C:C,"VALERIE J MANN",'AP Line Items'!E:E)</f>
        <v>1070</v>
      </c>
      <c r="D277" s="14">
        <f>COUNTIF('AP Line Items'!C:C,"VALERIE J MANN")</f>
        <v>1</v>
      </c>
      <c r="E277" s="31">
        <f t="shared" si="1"/>
        <v>0.00009193668979</v>
      </c>
    </row>
    <row r="278" ht="15.75" customHeight="1">
      <c r="A278" s="14" t="s">
        <v>349</v>
      </c>
      <c r="B278" s="14" t="s">
        <v>18</v>
      </c>
      <c r="C278" s="30">
        <f>SUMIF('AP Line Items'!C:C,"FLEETPRIDE",'AP Line Items'!E:E)</f>
        <v>1059.98</v>
      </c>
      <c r="D278" s="14">
        <f>COUNTIF('AP Line Items'!C:C,"FLEETPRIDE")</f>
        <v>1</v>
      </c>
      <c r="E278" s="31">
        <f t="shared" si="1"/>
        <v>0.00009107574994</v>
      </c>
    </row>
    <row r="279" ht="15.75" customHeight="1">
      <c r="A279" s="14" t="s">
        <v>350</v>
      </c>
      <c r="B279" s="14" t="s">
        <v>14</v>
      </c>
      <c r="C279" s="30">
        <f>SUMIF('AP Line Items'!C:C,"AMAZON CAPITAL SERVICES",'AP Line Items'!E:E)</f>
        <v>1024.28</v>
      </c>
      <c r="D279" s="14">
        <f>COUNTIF('AP Line Items'!C:C,"AMAZON CAPITAL SERVICES")</f>
        <v>2</v>
      </c>
      <c r="E279" s="31">
        <f t="shared" si="1"/>
        <v>0.00008800832955</v>
      </c>
    </row>
    <row r="280" ht="15.75" customHeight="1">
      <c r="A280" s="14" t="s">
        <v>351</v>
      </c>
      <c r="B280" s="14" t="s">
        <v>38</v>
      </c>
      <c r="C280" s="30">
        <f>SUMIF('AP Line Items'!C:C,"EASTERN SHORE COFFEE",'AP Line Items'!E:E)</f>
        <v>1003.41</v>
      </c>
      <c r="D280" s="14">
        <f>COUNTIF('AP Line Items'!C:C,"EASTERN SHORE COFFEE")</f>
        <v>21</v>
      </c>
      <c r="E280" s="31">
        <f t="shared" si="1"/>
        <v>0.00008621513449</v>
      </c>
    </row>
    <row r="281" ht="15.75" customHeight="1">
      <c r="A281" s="14" t="s">
        <v>352</v>
      </c>
      <c r="B281" s="14" t="s">
        <v>14</v>
      </c>
      <c r="C281" s="30">
        <f>SUMIF('AP Line Items'!C:C,"HOLBROOK ENVIRONMENTAL",'AP Line Items'!E:E)</f>
        <v>1000</v>
      </c>
      <c r="D281" s="14">
        <f>COUNTIF('AP Line Items'!C:C,"HOLBROOK ENVIRONMENTAL")</f>
        <v>1</v>
      </c>
      <c r="E281" s="31">
        <f t="shared" si="1"/>
        <v>0.00008592213999</v>
      </c>
    </row>
    <row r="282" ht="15.75" customHeight="1">
      <c r="A282" s="14" t="s">
        <v>353</v>
      </c>
      <c r="B282" s="14" t="s">
        <v>14</v>
      </c>
      <c r="C282" s="30">
        <f>SUMIF('AP Line Items'!C:C,"OCEAN CITY PIPES AND DRUMS",'AP Line Items'!E:E)</f>
        <v>1000</v>
      </c>
      <c r="D282" s="14">
        <f>COUNTIF('AP Line Items'!C:C,"OCEAN CITY PIPES AND DRUMS")</f>
        <v>1</v>
      </c>
      <c r="E282" s="31">
        <f t="shared" si="1"/>
        <v>0.00008592213999</v>
      </c>
    </row>
    <row r="283" ht="15.75" customHeight="1">
      <c r="A283" s="14" t="s">
        <v>354</v>
      </c>
      <c r="B283" s="14" t="s">
        <v>14</v>
      </c>
      <c r="C283" s="30">
        <f>SUMIF('AP Line Items'!C:C,"RADIO OCEAN CITY",'AP Line Items'!E:E)</f>
        <v>1000</v>
      </c>
      <c r="D283" s="14">
        <f>COUNTIF('AP Line Items'!C:C,"RADIO OCEAN CITY")</f>
        <v>1</v>
      </c>
      <c r="E283" s="31">
        <f t="shared" si="1"/>
        <v>0.00008592213999</v>
      </c>
    </row>
    <row r="284" ht="15.75" customHeight="1">
      <c r="A284" s="14" t="s">
        <v>355</v>
      </c>
      <c r="B284" s="14" t="s">
        <v>14</v>
      </c>
      <c r="C284" s="30">
        <f>SUMIF('AP Line Items'!C:C,"EMBLEM ENTERPRISES IN",'AP Line Items'!E:E)</f>
        <v>995.07</v>
      </c>
      <c r="D284" s="14">
        <f>COUNTIF('AP Line Items'!C:C,"EMBLEM ENTERPRISES IN")</f>
        <v>2</v>
      </c>
      <c r="E284" s="31">
        <f t="shared" si="1"/>
        <v>0.00008549854384</v>
      </c>
    </row>
    <row r="285" ht="15.75" customHeight="1">
      <c r="A285" s="14" t="s">
        <v>356</v>
      </c>
      <c r="B285" s="14" t="s">
        <v>14</v>
      </c>
      <c r="C285" s="30">
        <f>SUMIF('AP Line Items'!C:C,"WELLS IVY",'AP Line Items'!E:E)</f>
        <v>970.14</v>
      </c>
      <c r="D285" s="14">
        <f>COUNTIF('AP Line Items'!C:C,"WELLS IVY")</f>
        <v>4</v>
      </c>
      <c r="E285" s="31">
        <f t="shared" si="1"/>
        <v>0.00008335650489</v>
      </c>
    </row>
    <row r="286" ht="15.75" customHeight="1">
      <c r="A286" s="14" t="s">
        <v>357</v>
      </c>
      <c r="B286" s="14" t="s">
        <v>14</v>
      </c>
      <c r="C286" s="30">
        <f>SUMIF('AP Line Items'!C:C,"BMI",'AP Line Items'!E:E)</f>
        <v>905</v>
      </c>
      <c r="D286" s="14">
        <f>COUNTIF('AP Line Items'!C:C,"BMI")</f>
        <v>2</v>
      </c>
      <c r="E286" s="31">
        <f t="shared" si="1"/>
        <v>0.00007775953669</v>
      </c>
    </row>
    <row r="287" ht="15.75" customHeight="1">
      <c r="A287" s="14" t="s">
        <v>358</v>
      </c>
      <c r="B287" s="14" t="s">
        <v>14</v>
      </c>
      <c r="C287" s="30">
        <f>SUMIF('AP Line Items'!C:C,"MD CUSTOM PROMOS",'AP Line Items'!E:E)</f>
        <v>900</v>
      </c>
      <c r="D287" s="14">
        <f>COUNTIF('AP Line Items'!C:C,"MD CUSTOM PROMOS")</f>
        <v>1</v>
      </c>
      <c r="E287" s="31">
        <f t="shared" si="1"/>
        <v>0.00007732992599</v>
      </c>
    </row>
    <row r="288" ht="15.75" customHeight="1">
      <c r="A288" s="14" t="s">
        <v>359</v>
      </c>
      <c r="B288" s="14" t="s">
        <v>14</v>
      </c>
      <c r="C288" s="30">
        <f>SUMIF('AP Line Items'!C:C,"LISA ANDERSON",'AP Line Items'!E:E)</f>
        <v>900</v>
      </c>
      <c r="D288" s="14">
        <f>COUNTIF('AP Line Items'!C:C,"LISA ANDERSON")</f>
        <v>1</v>
      </c>
      <c r="E288" s="31">
        <f t="shared" si="1"/>
        <v>0.00007732992599</v>
      </c>
    </row>
    <row r="289" ht="15.75" customHeight="1">
      <c r="A289" s="14" t="s">
        <v>360</v>
      </c>
      <c r="B289" s="14" t="s">
        <v>14</v>
      </c>
      <c r="C289" s="30">
        <f>SUMIF('AP Line Items'!C:C,"STEPHEN M FRENE",'AP Line Items'!E:E)</f>
        <v>900</v>
      </c>
      <c r="D289" s="14">
        <f>COUNTIF('AP Line Items'!C:C,"STEPHEN M FRENE")</f>
        <v>6</v>
      </c>
      <c r="E289" s="31">
        <f t="shared" si="1"/>
        <v>0.00007732992599</v>
      </c>
    </row>
    <row r="290" ht="15.75" customHeight="1">
      <c r="A290" s="14" t="s">
        <v>361</v>
      </c>
      <c r="B290" s="14" t="s">
        <v>14</v>
      </c>
      <c r="C290" s="30">
        <f>SUMIF('AP Line Items'!C:C,"ARUSA BABU ISLAM",'AP Line Items'!E:E)</f>
        <v>900</v>
      </c>
      <c r="D290" s="14">
        <f>COUNTIF('AP Line Items'!C:C,"ARUSA BABU ISLAM")</f>
        <v>2</v>
      </c>
      <c r="E290" s="31">
        <f t="shared" si="1"/>
        <v>0.00007732992599</v>
      </c>
    </row>
    <row r="291" ht="15.75" customHeight="1">
      <c r="A291" s="14" t="s">
        <v>362</v>
      </c>
      <c r="B291" s="14" t="s">
        <v>14</v>
      </c>
      <c r="C291" s="30">
        <f>SUMIF('AP Line Items'!C:C,"ACRISURE MID-ATLANTIC PARTNERS INSURANCE SERVICES",'AP Line Items'!E:E)</f>
        <v>897</v>
      </c>
      <c r="D291" s="14">
        <f>COUNTIF('AP Line Items'!C:C,"ACRISURE MID-ATLANTIC PARTNERS INSURANCE SERVICES")</f>
        <v>1</v>
      </c>
      <c r="E291" s="31">
        <f t="shared" si="1"/>
        <v>0.00007707215957</v>
      </c>
    </row>
    <row r="292" ht="15.75" customHeight="1">
      <c r="A292" s="14" t="s">
        <v>363</v>
      </c>
      <c r="B292" s="14" t="s">
        <v>14</v>
      </c>
      <c r="C292" s="30">
        <f>SUMIF('AP Line Items'!C:C,"R J LOCK &amp; SECURITY",'AP Line Items'!E:E)</f>
        <v>878.5</v>
      </c>
      <c r="D292" s="14">
        <f>COUNTIF('AP Line Items'!C:C,"R J LOCK &amp; SECURITY")</f>
        <v>1</v>
      </c>
      <c r="E292" s="31">
        <f t="shared" si="1"/>
        <v>0.00007548259998</v>
      </c>
    </row>
    <row r="293" ht="15.75" customHeight="1">
      <c r="A293" s="14" t="s">
        <v>364</v>
      </c>
      <c r="B293" s="14" t="s">
        <v>14</v>
      </c>
      <c r="C293" s="30">
        <f>SUMIF('AP Line Items'!C:C,"RICKARDS NICOLAS",'AP Line Items'!E:E)</f>
        <v>860.6</v>
      </c>
      <c r="D293" s="14">
        <f>COUNTIF('AP Line Items'!C:C,"RICKARDS NICOLAS")</f>
        <v>3</v>
      </c>
      <c r="E293" s="31">
        <f t="shared" si="1"/>
        <v>0.00007394459367</v>
      </c>
    </row>
    <row r="294" ht="15.75" customHeight="1">
      <c r="A294" s="14" t="s">
        <v>365</v>
      </c>
      <c r="B294" s="14" t="s">
        <v>36</v>
      </c>
      <c r="C294" s="30">
        <f>SUMIF('AP Line Items'!C:C,"CHESAPEAKE TELEPHONE SYSTEMS",'AP Line Items'!E:E)</f>
        <v>860</v>
      </c>
      <c r="D294" s="14">
        <f>COUNTIF('AP Line Items'!C:C,"CHESAPEAKE TELEPHONE SYSTEMS")</f>
        <v>3</v>
      </c>
      <c r="E294" s="31">
        <f t="shared" si="1"/>
        <v>0.00007389304039</v>
      </c>
    </row>
    <row r="295" ht="15.75" customHeight="1">
      <c r="A295" s="14" t="s">
        <v>366</v>
      </c>
      <c r="B295" s="14" t="s">
        <v>38</v>
      </c>
      <c r="C295" s="30">
        <f>SUMIF('AP Line Items'!C:C,"CINTAS RUGS",'AP Line Items'!E:E)</f>
        <v>835.78</v>
      </c>
      <c r="D295" s="14">
        <f>COUNTIF('AP Line Items'!C:C,"CINTAS RUGS")</f>
        <v>7</v>
      </c>
      <c r="E295" s="31">
        <f t="shared" si="1"/>
        <v>0.00007181200616</v>
      </c>
    </row>
    <row r="296" ht="15.75" customHeight="1">
      <c r="A296" s="14" t="s">
        <v>367</v>
      </c>
      <c r="B296" s="14" t="s">
        <v>14</v>
      </c>
      <c r="C296" s="30">
        <f>SUMIF('AP Line Items'!C:C,"SUN SIGNS",'AP Line Items'!E:E)</f>
        <v>830</v>
      </c>
      <c r="D296" s="14">
        <f>COUNTIF('AP Line Items'!C:C,"SUN SIGNS")</f>
        <v>2</v>
      </c>
      <c r="E296" s="31">
        <f t="shared" si="1"/>
        <v>0.00007131537619</v>
      </c>
    </row>
    <row r="297" ht="15.75" customHeight="1">
      <c r="A297" s="14" t="s">
        <v>368</v>
      </c>
      <c r="B297" s="14" t="s">
        <v>14</v>
      </c>
      <c r="C297" s="30">
        <f>SUMIF('AP Line Items'!C:C,"COLLINS RYAN",'AP Line Items'!E:E)</f>
        <v>827.36</v>
      </c>
      <c r="D297" s="14">
        <f>COUNTIF('AP Line Items'!C:C,"COLLINS RYAN")</f>
        <v>4</v>
      </c>
      <c r="E297" s="31">
        <f t="shared" si="1"/>
        <v>0.00007108854174</v>
      </c>
    </row>
    <row r="298" ht="15.75" customHeight="1">
      <c r="A298" s="14" t="s">
        <v>369</v>
      </c>
      <c r="B298" s="14" t="s">
        <v>36</v>
      </c>
      <c r="C298" s="30">
        <f>SUMIF('AP Line Items'!C:C,"VERIZON-000718605643",'AP Line Items'!E:E)</f>
        <v>816.14</v>
      </c>
      <c r="D298" s="14">
        <f>COUNTIF('AP Line Items'!C:C,"VERIZON-000718605643")</f>
        <v>13</v>
      </c>
      <c r="E298" s="31">
        <f t="shared" si="1"/>
        <v>0.00007012449533</v>
      </c>
    </row>
    <row r="299" ht="15.75" customHeight="1">
      <c r="A299" s="14" t="s">
        <v>370</v>
      </c>
      <c r="B299" s="14" t="s">
        <v>14</v>
      </c>
      <c r="C299" s="30">
        <f>SUMIF('AP Line Items'!C:C,"JESSICA HALL",'AP Line Items'!E:E)</f>
        <v>810</v>
      </c>
      <c r="D299" s="14">
        <f>COUNTIF('AP Line Items'!C:C,"JESSICA HALL")</f>
        <v>1</v>
      </c>
      <c r="E299" s="31">
        <f t="shared" si="1"/>
        <v>0.00006959693339</v>
      </c>
    </row>
    <row r="300" ht="15.75" customHeight="1">
      <c r="A300" s="14" t="s">
        <v>371</v>
      </c>
      <c r="B300" s="14" t="s">
        <v>14</v>
      </c>
      <c r="C300" s="30">
        <f>SUMIF('AP Line Items'!C:C,"GRAVES UNIFORM",'AP Line Items'!E:E)</f>
        <v>803.99</v>
      </c>
      <c r="D300" s="14">
        <f>COUNTIF('AP Line Items'!C:C,"GRAVES UNIFORM")</f>
        <v>1</v>
      </c>
      <c r="E300" s="31">
        <f t="shared" si="1"/>
        <v>0.00006908054133</v>
      </c>
    </row>
    <row r="301" ht="15.75" customHeight="1">
      <c r="A301" s="14" t="s">
        <v>372</v>
      </c>
      <c r="B301" s="14" t="s">
        <v>14</v>
      </c>
      <c r="C301" s="30">
        <f>SUMIF('AP Line Items'!C:C,"OMNISITE",'AP Line Items'!E:E)</f>
        <v>794</v>
      </c>
      <c r="D301" s="14">
        <f>COUNTIF('AP Line Items'!C:C,"OMNISITE")</f>
        <v>1</v>
      </c>
      <c r="E301" s="31">
        <f t="shared" si="1"/>
        <v>0.00006822217915</v>
      </c>
    </row>
    <row r="302" ht="15.75" customHeight="1">
      <c r="A302" s="14" t="s">
        <v>373</v>
      </c>
      <c r="B302" s="14" t="s">
        <v>14</v>
      </c>
      <c r="C302" s="30">
        <f>SUMIF('AP Line Items'!C:C,"DELAWARE ELEVATOR SERVICE",'AP Line Items'!E:E)</f>
        <v>790</v>
      </c>
      <c r="D302" s="14">
        <f>COUNTIF('AP Line Items'!C:C,"DELAWARE ELEVATOR SERVICE")</f>
        <v>1</v>
      </c>
      <c r="E302" s="31">
        <f t="shared" si="1"/>
        <v>0.00006787849059</v>
      </c>
    </row>
    <row r="303" ht="15.75" customHeight="1">
      <c r="A303" s="14" t="s">
        <v>374</v>
      </c>
      <c r="B303" s="14" t="s">
        <v>14</v>
      </c>
      <c r="C303" s="30">
        <f>SUMIF('AP Line Items'!C:C,"LIGHTSABER PROMOTIONS",'AP Line Items'!E:E)</f>
        <v>775</v>
      </c>
      <c r="D303" s="14">
        <f>COUNTIF('AP Line Items'!C:C,"LIGHTSABER PROMOTIONS")</f>
        <v>1</v>
      </c>
      <c r="E303" s="31">
        <f t="shared" si="1"/>
        <v>0.00006658965849</v>
      </c>
    </row>
    <row r="304" ht="15.75" customHeight="1">
      <c r="A304" s="14" t="s">
        <v>375</v>
      </c>
      <c r="B304" s="14" t="s">
        <v>14</v>
      </c>
      <c r="C304" s="30">
        <f>SUMIF('AP Line Items'!C:C,"WORCESTER COUNTY",'AP Line Items'!E:E)</f>
        <v>749</v>
      </c>
      <c r="D304" s="14">
        <f>COUNTIF('AP Line Items'!C:C,"WORCESTER COUNTY")</f>
        <v>1</v>
      </c>
      <c r="E304" s="31">
        <f t="shared" si="1"/>
        <v>0.00006435568285</v>
      </c>
    </row>
    <row r="305" ht="15.75" customHeight="1">
      <c r="A305" s="14" t="s">
        <v>376</v>
      </c>
      <c r="B305" s="14" t="s">
        <v>14</v>
      </c>
      <c r="C305" s="30">
        <f>SUMIF('AP Line Items'!C:C,"BRAGG MERLE",'AP Line Items'!E:E)</f>
        <v>748</v>
      </c>
      <c r="D305" s="14">
        <f>COUNTIF('AP Line Items'!C:C,"BRAGG MERLE")</f>
        <v>2</v>
      </c>
      <c r="E305" s="31">
        <f t="shared" si="1"/>
        <v>0.00006426976071</v>
      </c>
    </row>
    <row r="306" ht="15.75" customHeight="1">
      <c r="A306" s="14" t="s">
        <v>377</v>
      </c>
      <c r="B306" s="14" t="s">
        <v>14</v>
      </c>
      <c r="C306" s="30">
        <f>SUMIF('AP Line Items'!C:C,"FISHER ROBERT",'AP Line Items'!E:E)</f>
        <v>748</v>
      </c>
      <c r="D306" s="14">
        <f>COUNTIF('AP Line Items'!C:C,"FISHER ROBERT")</f>
        <v>2</v>
      </c>
      <c r="E306" s="31">
        <f t="shared" si="1"/>
        <v>0.00006426976071</v>
      </c>
    </row>
    <row r="307" ht="15.75" customHeight="1">
      <c r="A307" s="14" t="s">
        <v>378</v>
      </c>
      <c r="B307" s="14" t="s">
        <v>14</v>
      </c>
      <c r="C307" s="30">
        <f>SUMIF('AP Line Items'!C:C,"ED SUPPLY",'AP Line Items'!E:E)</f>
        <v>727.7</v>
      </c>
      <c r="D307" s="14">
        <f>COUNTIF('AP Line Items'!C:C,"ED SUPPLY")</f>
        <v>2</v>
      </c>
      <c r="E307" s="31">
        <f t="shared" si="1"/>
        <v>0.00006252554127</v>
      </c>
    </row>
    <row r="308" ht="15.75" customHeight="1">
      <c r="A308" s="14" t="s">
        <v>379</v>
      </c>
      <c r="B308" s="14" t="s">
        <v>14</v>
      </c>
      <c r="C308" s="30">
        <f>SUMIF('AP Line Items'!C:C,"NORTHWEST LINEMAN COLLEGE",'AP Line Items'!E:E)</f>
        <v>702</v>
      </c>
      <c r="D308" s="14">
        <f>COUNTIF('AP Line Items'!C:C,"NORTHWEST LINEMAN COLLEGE")</f>
        <v>1</v>
      </c>
      <c r="E308" s="31">
        <f t="shared" si="1"/>
        <v>0.00006031734227</v>
      </c>
    </row>
    <row r="309" ht="15.75" customHeight="1">
      <c r="A309" s="14" t="s">
        <v>380</v>
      </c>
      <c r="B309" s="14" t="s">
        <v>14</v>
      </c>
      <c r="C309" s="30">
        <f>SUMIF('AP Line Items'!C:C,"DESERT SNOW",'AP Line Items'!E:E)</f>
        <v>699</v>
      </c>
      <c r="D309" s="14">
        <f>COUNTIF('AP Line Items'!C:C,"DESERT SNOW")</f>
        <v>1</v>
      </c>
      <c r="E309" s="31">
        <f t="shared" si="1"/>
        <v>0.00006005957585</v>
      </c>
    </row>
    <row r="310" ht="15.75" customHeight="1">
      <c r="A310" s="14" t="s">
        <v>381</v>
      </c>
      <c r="B310" s="14" t="s">
        <v>14</v>
      </c>
      <c r="C310" s="30">
        <f>SUMIF('AP Line Items'!C:C,"CLICKBID",'AP Line Items'!E:E)</f>
        <v>695</v>
      </c>
      <c r="D310" s="14">
        <f>COUNTIF('AP Line Items'!C:C,"CLICKBID")</f>
        <v>1</v>
      </c>
      <c r="E310" s="31">
        <f t="shared" si="1"/>
        <v>0.00005971588729</v>
      </c>
    </row>
    <row r="311" ht="15.75" customHeight="1">
      <c r="A311" s="14" t="s">
        <v>382</v>
      </c>
      <c r="B311" s="14" t="s">
        <v>36</v>
      </c>
      <c r="C311" s="30">
        <f>SUMIF('AP Line Items'!C:C,"VERIZON-850462866001-13",'AP Line Items'!E:E)</f>
        <v>688.65</v>
      </c>
      <c r="D311" s="14">
        <f>COUNTIF('AP Line Items'!C:C,"VERIZON-850462866001-13")</f>
        <v>13</v>
      </c>
      <c r="E311" s="31">
        <f t="shared" si="1"/>
        <v>0.0000591702817</v>
      </c>
    </row>
    <row r="312" ht="15.75" customHeight="1">
      <c r="A312" s="14" t="s">
        <v>383</v>
      </c>
      <c r="B312" s="14" t="s">
        <v>14</v>
      </c>
      <c r="C312" s="30">
        <f>SUMIF('AP Line Items'!C:C,"HUNTER CALEB",'AP Line Items'!E:E)</f>
        <v>669.75</v>
      </c>
      <c r="D312" s="14">
        <f>COUNTIF('AP Line Items'!C:C,"HUNTER CALEB")</f>
        <v>3</v>
      </c>
      <c r="E312" s="31">
        <f t="shared" si="1"/>
        <v>0.00005754635326</v>
      </c>
    </row>
    <row r="313" ht="15.75" customHeight="1">
      <c r="A313" s="14" t="s">
        <v>384</v>
      </c>
      <c r="B313" s="14" t="s">
        <v>14</v>
      </c>
      <c r="C313" s="30">
        <f>SUMIF('AP Line Items'!C:C,"PENINSULA DRY CLEANERS",'AP Line Items'!E:E)</f>
        <v>665.53</v>
      </c>
      <c r="D313" s="14">
        <f>COUNTIF('AP Line Items'!C:C,"PENINSULA DRY CLEANERS")</f>
        <v>12</v>
      </c>
      <c r="E313" s="31">
        <f t="shared" si="1"/>
        <v>0.00005718376183</v>
      </c>
    </row>
    <row r="314" ht="15.75" customHeight="1">
      <c r="A314" s="14" t="s">
        <v>385</v>
      </c>
      <c r="B314" s="14" t="s">
        <v>14</v>
      </c>
      <c r="C314" s="30">
        <f>SUMIF('AP Line Items'!C:C,"HOLT PAPER",'AP Line Items'!E:E)</f>
        <v>640.9</v>
      </c>
      <c r="D314" s="14">
        <f>COUNTIF('AP Line Items'!C:C,"HOLT PAPER")</f>
        <v>1</v>
      </c>
      <c r="E314" s="31">
        <f t="shared" si="1"/>
        <v>0.00005506749952</v>
      </c>
    </row>
    <row r="315" ht="15.75" customHeight="1">
      <c r="A315" s="14" t="s">
        <v>386</v>
      </c>
      <c r="B315" s="14" t="s">
        <v>14</v>
      </c>
      <c r="C315" s="30">
        <f>SUMIF('AP Line Items'!C:C,"GARDEN ARTISANS",'AP Line Items'!E:E)</f>
        <v>639.85</v>
      </c>
      <c r="D315" s="14">
        <f>COUNTIF('AP Line Items'!C:C,"GARDEN ARTISANS")</f>
        <v>2</v>
      </c>
      <c r="E315" s="31">
        <f t="shared" si="1"/>
        <v>0.00005497728127</v>
      </c>
    </row>
    <row r="316" ht="15.75" customHeight="1">
      <c r="A316" s="14" t="s">
        <v>387</v>
      </c>
      <c r="B316" s="14" t="s">
        <v>14</v>
      </c>
      <c r="C316" s="30">
        <f>SUMIF('AP Line Items'!C:C,"SOLAR ENERGY SERVICES",'AP Line Items'!E:E)</f>
        <v>626</v>
      </c>
      <c r="D316" s="14">
        <f>COUNTIF('AP Line Items'!C:C,"SOLAR ENERGY SERVICES")</f>
        <v>1</v>
      </c>
      <c r="E316" s="31">
        <f t="shared" si="1"/>
        <v>0.00005378725963</v>
      </c>
    </row>
    <row r="317" ht="15.75" customHeight="1">
      <c r="A317" s="14" t="s">
        <v>388</v>
      </c>
      <c r="B317" s="14" t="s">
        <v>14</v>
      </c>
      <c r="C317" s="30">
        <f>SUMIF('AP Line Items'!C:C,"GORFINKEL SARA P",'AP Line Items'!E:E)</f>
        <v>615.01</v>
      </c>
      <c r="D317" s="14">
        <f>COUNTIF('AP Line Items'!C:C,"GORFINKEL SARA P")</f>
        <v>2</v>
      </c>
      <c r="E317" s="31">
        <f t="shared" si="1"/>
        <v>0.00005284297531</v>
      </c>
    </row>
    <row r="318" ht="15.75" customHeight="1">
      <c r="A318" s="14" t="s">
        <v>389</v>
      </c>
      <c r="B318" s="14" t="s">
        <v>14</v>
      </c>
      <c r="C318" s="30">
        <f>SUMIF('AP Line Items'!C:C,"J &amp; J CHEMICALS",'AP Line Items'!E:E)</f>
        <v>608.58</v>
      </c>
      <c r="D318" s="14">
        <f>COUNTIF('AP Line Items'!C:C,"J &amp; J CHEMICALS")</f>
        <v>2</v>
      </c>
      <c r="E318" s="31">
        <f t="shared" si="1"/>
        <v>0.00005229049595</v>
      </c>
    </row>
    <row r="319" ht="15.75" customHeight="1">
      <c r="A319" s="14" t="s">
        <v>390</v>
      </c>
      <c r="B319" s="14" t="s">
        <v>14</v>
      </c>
      <c r="C319" s="30">
        <f>SUMIF('AP Line Items'!C:C,"THE DEPT OF PUBLIC SAFETY &amp; CORRECTIONAL SVC",'AP Line Items'!E:E)</f>
        <v>602</v>
      </c>
      <c r="D319" s="14">
        <f>COUNTIF('AP Line Items'!C:C,"THE DEPT OF PUBLIC SAFETY &amp; CORRECTIONAL SVC")</f>
        <v>3</v>
      </c>
      <c r="E319" s="31">
        <f t="shared" si="1"/>
        <v>0.00005172512827</v>
      </c>
    </row>
    <row r="320" ht="15.75" customHeight="1">
      <c r="A320" s="14" t="s">
        <v>391</v>
      </c>
      <c r="B320" s="14" t="s">
        <v>14</v>
      </c>
      <c r="C320" s="30">
        <f>SUMIF('AP Line Items'!C:C,"HARRINGTON INDUSTRIAL PLASTIC",'AP Line Items'!E:E)</f>
        <v>601.32</v>
      </c>
      <c r="D320" s="14">
        <f>COUNTIF('AP Line Items'!C:C,"HARRINGTON INDUSTRIAL PLASTIC")</f>
        <v>1</v>
      </c>
      <c r="E320" s="31">
        <f t="shared" si="1"/>
        <v>0.00005166670122</v>
      </c>
    </row>
    <row r="321" ht="15.75" customHeight="1">
      <c r="A321" s="14" t="s">
        <v>392</v>
      </c>
      <c r="B321" s="14" t="s">
        <v>14</v>
      </c>
      <c r="C321" s="30">
        <f>SUMIF('AP Line Items'!C:C,"GETAWAYS ON DISPLAY",'AP Line Items'!E:E)</f>
        <v>600</v>
      </c>
      <c r="D321" s="14">
        <f>COUNTIF('AP Line Items'!C:C,"GETAWAYS ON DISPLAY")</f>
        <v>1</v>
      </c>
      <c r="E321" s="31">
        <f t="shared" si="1"/>
        <v>0.00005155328399</v>
      </c>
    </row>
    <row r="322" ht="15.75" customHeight="1">
      <c r="A322" s="14" t="s">
        <v>393</v>
      </c>
      <c r="B322" s="14" t="s">
        <v>14</v>
      </c>
      <c r="C322" s="30">
        <f>SUMIF('AP Line Items'!C:C,"BRYAN DOUGLAS RUSSO",'AP Line Items'!E:E)</f>
        <v>600</v>
      </c>
      <c r="D322" s="14">
        <f>COUNTIF('AP Line Items'!C:C,"BRYAN DOUGLAS RUSSO")</f>
        <v>4</v>
      </c>
      <c r="E322" s="31">
        <f t="shared" si="1"/>
        <v>0.00005155328399</v>
      </c>
    </row>
    <row r="323" ht="15.75" customHeight="1">
      <c r="A323" s="14" t="s">
        <v>394</v>
      </c>
      <c r="B323" s="14" t="s">
        <v>14</v>
      </c>
      <c r="C323" s="30">
        <f>SUMIF('AP Line Items'!C:C,"BRENDA J KOLAR",'AP Line Items'!E:E)</f>
        <v>600</v>
      </c>
      <c r="D323" s="14">
        <f>COUNTIF('AP Line Items'!C:C,"BRENDA J KOLAR")</f>
        <v>1</v>
      </c>
      <c r="E323" s="31">
        <f t="shared" si="1"/>
        <v>0.00005155328399</v>
      </c>
    </row>
    <row r="324" ht="15.75" customHeight="1">
      <c r="A324" s="14" t="s">
        <v>395</v>
      </c>
      <c r="B324" s="14" t="s">
        <v>24</v>
      </c>
      <c r="C324" s="30">
        <f>SUMIF('AP Line Items'!C:C,"WISE GUYS POLICE TRAINING AND SERVICES",'AP Line Items'!E:E)</f>
        <v>585</v>
      </c>
      <c r="D324" s="14">
        <f>COUNTIF('AP Line Items'!C:C,"WISE GUYS POLICE TRAINING AND SERVICES")</f>
        <v>1</v>
      </c>
      <c r="E324" s="31">
        <f t="shared" si="1"/>
        <v>0.00005026445189</v>
      </c>
    </row>
    <row r="325" ht="15.75" customHeight="1">
      <c r="A325" s="14" t="s">
        <v>396</v>
      </c>
      <c r="B325" s="14" t="s">
        <v>14</v>
      </c>
      <c r="C325" s="30">
        <f>SUMIF('AP Line Items'!C:C,"MCWILLIAMS CHARLES",'AP Line Items'!E:E)</f>
        <v>581.81</v>
      </c>
      <c r="D325" s="14">
        <f>COUNTIF('AP Line Items'!C:C,"MCWILLIAMS CHARLES")</f>
        <v>6</v>
      </c>
      <c r="E325" s="31">
        <f t="shared" si="1"/>
        <v>0.00004999036027</v>
      </c>
    </row>
    <row r="326" ht="15.75" customHeight="1">
      <c r="A326" s="14" t="s">
        <v>397</v>
      </c>
      <c r="B326" s="14" t="s">
        <v>14</v>
      </c>
      <c r="C326" s="30">
        <f>SUMIF('AP Line Items'!C:C,"DUNCAN RICHARD",'AP Line Items'!E:E)</f>
        <v>574.88</v>
      </c>
      <c r="D326" s="14">
        <f>COUNTIF('AP Line Items'!C:C,"DUNCAN RICHARD")</f>
        <v>4</v>
      </c>
      <c r="E326" s="31">
        <f t="shared" si="1"/>
        <v>0.00004939491984</v>
      </c>
    </row>
    <row r="327" ht="15.75" customHeight="1">
      <c r="A327" s="14" t="s">
        <v>398</v>
      </c>
      <c r="B327" s="14" t="s">
        <v>14</v>
      </c>
      <c r="C327" s="30">
        <f>SUMIF('AP Line Items'!C:C,"MARYLAND MUNICIPAL LEAGUE",'AP Line Items'!E:E)</f>
        <v>570</v>
      </c>
      <c r="D327" s="14">
        <f>COUNTIF('AP Line Items'!C:C,"MARYLAND MUNICIPAL LEAGUE")</f>
        <v>2</v>
      </c>
      <c r="E327" s="31">
        <f t="shared" si="1"/>
        <v>0.00004897561979</v>
      </c>
    </row>
    <row r="328" ht="15.75" customHeight="1">
      <c r="A328" s="14" t="s">
        <v>399</v>
      </c>
      <c r="B328" s="14" t="s">
        <v>14</v>
      </c>
      <c r="C328" s="30">
        <f>SUMIF('AP Line Items'!C:C,"EBKE MATTHEW",'AP Line Items'!E:E)</f>
        <v>556.59</v>
      </c>
      <c r="D328" s="14">
        <f>COUNTIF('AP Line Items'!C:C,"EBKE MATTHEW")</f>
        <v>3</v>
      </c>
      <c r="E328" s="31">
        <f t="shared" si="1"/>
        <v>0.0000478234039</v>
      </c>
    </row>
    <row r="329" ht="15.75" customHeight="1">
      <c r="A329" s="14" t="s">
        <v>400</v>
      </c>
      <c r="B329" s="14" t="s">
        <v>14</v>
      </c>
      <c r="C329" s="30">
        <f>SUMIF('AP Line Items'!C:C,"PFALLER MEGHAN",'AP Line Items'!E:E)</f>
        <v>548.46</v>
      </c>
      <c r="D329" s="14">
        <f>COUNTIF('AP Line Items'!C:C,"PFALLER MEGHAN")</f>
        <v>3</v>
      </c>
      <c r="E329" s="31">
        <f t="shared" si="1"/>
        <v>0.0000471248569</v>
      </c>
    </row>
    <row r="330" ht="15.75" customHeight="1">
      <c r="A330" s="14" t="s">
        <v>401</v>
      </c>
      <c r="B330" s="14" t="s">
        <v>14</v>
      </c>
      <c r="C330" s="30">
        <f>SUMIF('AP Line Items'!C:C,"CITY OF MANASSAS",'AP Line Items'!E:E)</f>
        <v>506.92</v>
      </c>
      <c r="D330" s="14">
        <f>COUNTIF('AP Line Items'!C:C,"CITY OF MANASSAS")</f>
        <v>1</v>
      </c>
      <c r="E330" s="31">
        <f t="shared" si="1"/>
        <v>0.0000435556512</v>
      </c>
    </row>
    <row r="331" ht="15.75" customHeight="1">
      <c r="A331" s="14" t="s">
        <v>402</v>
      </c>
      <c r="B331" s="14" t="s">
        <v>14</v>
      </c>
      <c r="C331" s="30">
        <f>SUMIF('AP Line Items'!C:C,"AMERICAN TESTING AND INSPECTION SERVICES",'AP Line Items'!E:E)</f>
        <v>505</v>
      </c>
      <c r="D331" s="14">
        <f>COUNTIF('AP Line Items'!C:C,"AMERICAN TESTING AND INSPECTION SERVICES")</f>
        <v>1</v>
      </c>
      <c r="E331" s="31">
        <f t="shared" si="1"/>
        <v>0.00004339068069</v>
      </c>
    </row>
    <row r="332" ht="15.75" customHeight="1">
      <c r="A332" s="14" t="s">
        <v>403</v>
      </c>
      <c r="B332" s="14" t="s">
        <v>14</v>
      </c>
      <c r="C332" s="30">
        <f>SUMIF('AP Line Items'!C:C,"MARYLAND RETAILERS ALLIANCE",'AP Line Items'!E:E)</f>
        <v>500</v>
      </c>
      <c r="D332" s="14">
        <f>COUNTIF('AP Line Items'!C:C,"MARYLAND RETAILERS ALLIANCE")</f>
        <v>1</v>
      </c>
      <c r="E332" s="31">
        <f t="shared" si="1"/>
        <v>0.00004296106999</v>
      </c>
    </row>
    <row r="333" ht="15.75" customHeight="1">
      <c r="A333" s="14" t="s">
        <v>404</v>
      </c>
      <c r="B333" s="14" t="s">
        <v>14</v>
      </c>
      <c r="C333" s="30">
        <f>SUMIF('AP Line Items'!C:C,"LOWER SHORE LAND TRUST",'AP Line Items'!E:E)</f>
        <v>500</v>
      </c>
      <c r="D333" s="14">
        <f>COUNTIF('AP Line Items'!C:C,"LOWER SHORE LAND TRUST")</f>
        <v>1</v>
      </c>
      <c r="E333" s="31">
        <f t="shared" si="1"/>
        <v>0.00004296106999</v>
      </c>
    </row>
    <row r="334" ht="15.75" customHeight="1">
      <c r="A334" s="14" t="s">
        <v>405</v>
      </c>
      <c r="B334" s="14" t="s">
        <v>14</v>
      </c>
      <c r="C334" s="30">
        <f>SUMIF('AP Line Items'!C:C,"CARLOS MIR",'AP Line Items'!E:E)</f>
        <v>500</v>
      </c>
      <c r="D334" s="14">
        <f>COUNTIF('AP Line Items'!C:C,"CARLOS MIR")</f>
        <v>1</v>
      </c>
      <c r="E334" s="31">
        <f t="shared" si="1"/>
        <v>0.00004296106999</v>
      </c>
    </row>
    <row r="335" ht="15.75" customHeight="1">
      <c r="A335" s="14" t="s">
        <v>406</v>
      </c>
      <c r="B335" s="14" t="s">
        <v>14</v>
      </c>
      <c r="C335" s="30">
        <f>SUMIF('AP Line Items'!C:C,"TIMOTHY P HENN",'AP Line Items'!E:E)</f>
        <v>500</v>
      </c>
      <c r="D335" s="14">
        <f>COUNTIF('AP Line Items'!C:C,"TIMOTHY P HENN")</f>
        <v>1</v>
      </c>
      <c r="E335" s="31">
        <f t="shared" si="1"/>
        <v>0.00004296106999</v>
      </c>
    </row>
    <row r="336" ht="15.75" customHeight="1">
      <c r="A336" s="14" t="s">
        <v>407</v>
      </c>
      <c r="B336" s="14" t="s">
        <v>14</v>
      </c>
      <c r="C336" s="30">
        <f>SUMIF('AP Line Items'!C:C,"OCEAN CITY CHAMBER OF COMMERCE",'AP Line Items'!E:E)</f>
        <v>500</v>
      </c>
      <c r="D336" s="14">
        <f>COUNTIF('AP Line Items'!C:C,"OCEAN CITY CHAMBER OF COMMERCE")</f>
        <v>1</v>
      </c>
      <c r="E336" s="31">
        <f t="shared" si="1"/>
        <v>0.00004296106999</v>
      </c>
    </row>
    <row r="337" ht="15.75" customHeight="1">
      <c r="A337" s="14" t="s">
        <v>408</v>
      </c>
      <c r="B337" s="14" t="s">
        <v>14</v>
      </c>
      <c r="C337" s="30">
        <f>SUMIF('AP Line Items'!C:C,"ST PAULS EPISOPAL CHURCH",'AP Line Items'!E:E)</f>
        <v>500</v>
      </c>
      <c r="D337" s="14">
        <f>COUNTIF('AP Line Items'!C:C,"ST PAULS EPISOPAL CHURCH")</f>
        <v>1</v>
      </c>
      <c r="E337" s="31">
        <f t="shared" si="1"/>
        <v>0.00004296106999</v>
      </c>
    </row>
    <row r="338" ht="15.75" customHeight="1">
      <c r="A338" s="14" t="s">
        <v>409</v>
      </c>
      <c r="B338" s="14" t="s">
        <v>14</v>
      </c>
      <c r="C338" s="30">
        <f>SUMIF('AP Line Items'!C:C,"TRI-COUNTY COUNCIL FOUNDATION",'AP Line Items'!E:E)</f>
        <v>500</v>
      </c>
      <c r="D338" s="14">
        <f>COUNTIF('AP Line Items'!C:C,"TRI-COUNTY COUNCIL FOUNDATION")</f>
        <v>1</v>
      </c>
      <c r="E338" s="31">
        <f t="shared" si="1"/>
        <v>0.00004296106999</v>
      </c>
    </row>
    <row r="339" ht="15.75" customHeight="1">
      <c r="A339" s="14" t="s">
        <v>410</v>
      </c>
      <c r="B339" s="14" t="s">
        <v>14</v>
      </c>
      <c r="C339" s="30">
        <f>SUMIF('AP Line Items'!C:C,"ONE CALL CONCEPTS",'AP Line Items'!E:E)</f>
        <v>496.74</v>
      </c>
      <c r="D339" s="14">
        <f>COUNTIF('AP Line Items'!C:C,"ONE CALL CONCEPTS")</f>
        <v>10</v>
      </c>
      <c r="E339" s="31">
        <f t="shared" si="1"/>
        <v>0.00004268096382</v>
      </c>
    </row>
    <row r="340" ht="15.75" customHeight="1">
      <c r="A340" s="14" t="s">
        <v>411</v>
      </c>
      <c r="B340" s="14" t="s">
        <v>40</v>
      </c>
      <c r="C340" s="30">
        <f>SUMIF('AP Line Items'!C:C,"ACE PRINTING AND MAILING",'AP Line Items'!E:E)</f>
        <v>474.64</v>
      </c>
      <c r="D340" s="14">
        <f>COUNTIF('AP Line Items'!C:C,"ACE PRINTING AND MAILING")</f>
        <v>3</v>
      </c>
      <c r="E340" s="31">
        <f t="shared" si="1"/>
        <v>0.00004078208452</v>
      </c>
    </row>
    <row r="341" ht="15.75" customHeight="1">
      <c r="A341" s="14" t="s">
        <v>412</v>
      </c>
      <c r="B341" s="14" t="s">
        <v>14</v>
      </c>
      <c r="C341" s="30">
        <f>SUMIF('AP Line Items'!C:C,"LLOYD KEVIN",'AP Line Items'!E:E)</f>
        <v>455</v>
      </c>
      <c r="D341" s="14">
        <f>COUNTIF('AP Line Items'!C:C,"LLOYD KEVIN")</f>
        <v>1</v>
      </c>
      <c r="E341" s="31">
        <f t="shared" si="1"/>
        <v>0.00003909457369</v>
      </c>
    </row>
    <row r="342" ht="15.75" customHeight="1">
      <c r="A342" s="14" t="s">
        <v>413</v>
      </c>
      <c r="B342" s="14" t="s">
        <v>14</v>
      </c>
      <c r="C342" s="30">
        <f>SUMIF('AP Line Items'!C:C,"ESAM",'AP Line Items'!E:E)</f>
        <v>450</v>
      </c>
      <c r="D342" s="14">
        <f>COUNTIF('AP Line Items'!C:C,"ESAM")</f>
        <v>1</v>
      </c>
      <c r="E342" s="31">
        <f t="shared" si="1"/>
        <v>0.00003866496299</v>
      </c>
    </row>
    <row r="343" ht="15.75" customHeight="1">
      <c r="A343" s="14" t="s">
        <v>414</v>
      </c>
      <c r="B343" s="14" t="s">
        <v>14</v>
      </c>
      <c r="C343" s="30">
        <f>SUMIF('AP Line Items'!C:C,"WORCESTER BOARD OF ED",'AP Line Items'!E:E)</f>
        <v>448.21</v>
      </c>
      <c r="D343" s="14">
        <f>COUNTIF('AP Line Items'!C:C,"WORCESTER BOARD OF ED")</f>
        <v>1</v>
      </c>
      <c r="E343" s="31">
        <f t="shared" si="1"/>
        <v>0.00003851116236</v>
      </c>
    </row>
    <row r="344" ht="15.75" customHeight="1">
      <c r="A344" s="14" t="s">
        <v>415</v>
      </c>
      <c r="B344" s="14" t="s">
        <v>14</v>
      </c>
      <c r="C344" s="30">
        <f>SUMIF('AP Line Items'!C:C,"CARLTON SCALE",'AP Line Items'!E:E)</f>
        <v>444.5</v>
      </c>
      <c r="D344" s="14">
        <f>COUNTIF('AP Line Items'!C:C,"CARLTON SCALE")</f>
        <v>1</v>
      </c>
      <c r="E344" s="31">
        <f t="shared" si="1"/>
        <v>0.00003819239122</v>
      </c>
    </row>
    <row r="345" ht="15.75" customHeight="1">
      <c r="A345" s="14" t="s">
        <v>416</v>
      </c>
      <c r="B345" s="14" t="s">
        <v>24</v>
      </c>
      <c r="C345" s="30">
        <f>SUMIF('AP Line Items'!C:C,"INTERNATIONAL ASSOC OF CHIEFS OF POLICE",'AP Line Items'!E:E)</f>
        <v>440</v>
      </c>
      <c r="D345" s="14">
        <f>COUNTIF('AP Line Items'!C:C,"INTERNATIONAL ASSOC OF CHIEFS OF POLICE")</f>
        <v>1</v>
      </c>
      <c r="E345" s="31">
        <f t="shared" si="1"/>
        <v>0.00003780574159</v>
      </c>
    </row>
    <row r="346" ht="15.75" customHeight="1">
      <c r="A346" s="14" t="s">
        <v>417</v>
      </c>
      <c r="B346" s="14" t="s">
        <v>14</v>
      </c>
      <c r="C346" s="30">
        <f>SUMIF('AP Line Items'!C:C,"SHELBY TRUCKING",'AP Line Items'!E:E)</f>
        <v>420</v>
      </c>
      <c r="D346" s="14">
        <f>COUNTIF('AP Line Items'!C:C,"SHELBY TRUCKING")</f>
        <v>1</v>
      </c>
      <c r="E346" s="31">
        <f t="shared" si="1"/>
        <v>0.00003608729879</v>
      </c>
    </row>
    <row r="347" ht="15.75" customHeight="1">
      <c r="A347" s="14" t="s">
        <v>418</v>
      </c>
      <c r="B347" s="14" t="s">
        <v>14</v>
      </c>
      <c r="C347" s="30">
        <f>SUMIF('AP Line Items'!C:C,"SHARE",'AP Line Items'!E:E)</f>
        <v>405.26</v>
      </c>
      <c r="D347" s="14">
        <f>COUNTIF('AP Line Items'!C:C,"SHARE")</f>
        <v>1</v>
      </c>
      <c r="E347" s="31">
        <f t="shared" si="1"/>
        <v>0.00003482080645</v>
      </c>
    </row>
    <row r="348" ht="15.75" customHeight="1">
      <c r="A348" s="14" t="s">
        <v>419</v>
      </c>
      <c r="B348" s="14" t="s">
        <v>14</v>
      </c>
      <c r="C348" s="30">
        <f>SUMIF('AP Line Items'!C:C,"MAGLOCLEN",'AP Line Items'!E:E)</f>
        <v>400</v>
      </c>
      <c r="D348" s="14">
        <f>COUNTIF('AP Line Items'!C:C,"MAGLOCLEN")</f>
        <v>1</v>
      </c>
      <c r="E348" s="31">
        <f t="shared" si="1"/>
        <v>0.000034368856</v>
      </c>
    </row>
    <row r="349" ht="15.75" customHeight="1">
      <c r="A349" s="14" t="s">
        <v>420</v>
      </c>
      <c r="B349" s="14" t="s">
        <v>14</v>
      </c>
      <c r="C349" s="30">
        <f>SUMIF('AP Line Items'!C:C,"VICTORIA DIXON",'AP Line Items'!E:E)</f>
        <v>400</v>
      </c>
      <c r="D349" s="14">
        <f>COUNTIF('AP Line Items'!C:C,"VICTORIA DIXON")</f>
        <v>2</v>
      </c>
      <c r="E349" s="31">
        <f t="shared" si="1"/>
        <v>0.000034368856</v>
      </c>
    </row>
    <row r="350" ht="15.75" customHeight="1">
      <c r="A350" s="14" t="s">
        <v>421</v>
      </c>
      <c r="B350" s="14" t="s">
        <v>14</v>
      </c>
      <c r="C350" s="30">
        <f>SUMIF('AP Line Items'!C:C,"DELAWARE BEACH LIFE",'AP Line Items'!E:E)</f>
        <v>396</v>
      </c>
      <c r="D350" s="14">
        <f>COUNTIF('AP Line Items'!C:C,"DELAWARE BEACH LIFE")</f>
        <v>1</v>
      </c>
      <c r="E350" s="31">
        <f t="shared" si="1"/>
        <v>0.00003402516744</v>
      </c>
    </row>
    <row r="351" ht="15.75" customHeight="1">
      <c r="A351" s="14" t="s">
        <v>422</v>
      </c>
      <c r="B351" s="14" t="s">
        <v>14</v>
      </c>
      <c r="C351" s="30">
        <f>SUMIF('AP Line Items'!C:C,"TELVUE",'AP Line Items'!E:E)</f>
        <v>385.88</v>
      </c>
      <c r="D351" s="14">
        <f>COUNTIF('AP Line Items'!C:C,"TELVUE")</f>
        <v>1</v>
      </c>
      <c r="E351" s="31">
        <f t="shared" si="1"/>
        <v>0.00003315563538</v>
      </c>
    </row>
    <row r="352" ht="15.75" customHeight="1">
      <c r="A352" s="14" t="s">
        <v>423</v>
      </c>
      <c r="B352" s="14" t="s">
        <v>14</v>
      </c>
      <c r="C352" s="30">
        <f>SUMIF('AP Line Items'!C:C,"EASTERN LIFT TRUCK",'AP Line Items'!E:E)</f>
        <v>382.24</v>
      </c>
      <c r="D352" s="14">
        <f>COUNTIF('AP Line Items'!C:C,"EASTERN LIFT TRUCK")</f>
        <v>1</v>
      </c>
      <c r="E352" s="31">
        <f t="shared" si="1"/>
        <v>0.00003284287879</v>
      </c>
    </row>
    <row r="353" ht="15.75" customHeight="1">
      <c r="A353" s="14" t="s">
        <v>424</v>
      </c>
      <c r="B353" s="14" t="s">
        <v>14</v>
      </c>
      <c r="C353" s="30">
        <f>SUMIF('AP Line Items'!C:C,"PILOT INSTITUTE",'AP Line Items'!E:E)</f>
        <v>372</v>
      </c>
      <c r="D353" s="14">
        <f>COUNTIF('AP Line Items'!C:C,"PILOT INSTITUTE")</f>
        <v>1</v>
      </c>
      <c r="E353" s="31">
        <f t="shared" si="1"/>
        <v>0.00003196303608</v>
      </c>
    </row>
    <row r="354" ht="15.75" customHeight="1">
      <c r="A354" s="14" t="s">
        <v>425</v>
      </c>
      <c r="B354" s="14" t="s">
        <v>22</v>
      </c>
      <c r="C354" s="30">
        <f>SUMIF('AP Line Items'!C:C,"DAVID C GASKILL ATTORNEY AT LAW",'AP Line Items'!E:E)</f>
        <v>350.53</v>
      </c>
      <c r="D354" s="14">
        <f>COUNTIF('AP Line Items'!C:C,"DAVID C GASKILL ATTORNEY AT LAW")</f>
        <v>4</v>
      </c>
      <c r="E354" s="31">
        <f t="shared" si="1"/>
        <v>0.00003011828773</v>
      </c>
    </row>
    <row r="355" ht="15.75" customHeight="1">
      <c r="A355" s="14" t="s">
        <v>426</v>
      </c>
      <c r="B355" s="14" t="s">
        <v>14</v>
      </c>
      <c r="C355" s="30">
        <f>SUMIF('AP Line Items'!C:C,"BUNTINGS GARAGE",'AP Line Items'!E:E)</f>
        <v>345</v>
      </c>
      <c r="D355" s="14">
        <f>COUNTIF('AP Line Items'!C:C,"BUNTINGS GARAGE")</f>
        <v>1</v>
      </c>
      <c r="E355" s="31">
        <f t="shared" si="1"/>
        <v>0.0000296431383</v>
      </c>
    </row>
    <row r="356" ht="15.75" customHeight="1">
      <c r="A356" s="14" t="s">
        <v>427</v>
      </c>
      <c r="B356" s="14" t="s">
        <v>14</v>
      </c>
      <c r="C356" s="30">
        <f>SUMIF('AP Line Items'!C:C,"TIGER TOUGH",'AP Line Items'!E:E)</f>
        <v>317</v>
      </c>
      <c r="D356" s="14">
        <f>COUNTIF('AP Line Items'!C:C,"TIGER TOUGH")</f>
        <v>1</v>
      </c>
      <c r="E356" s="31">
        <f t="shared" si="1"/>
        <v>0.00002723731838</v>
      </c>
    </row>
    <row r="357" ht="15.75" customHeight="1">
      <c r="A357" s="14" t="s">
        <v>428</v>
      </c>
      <c r="B357" s="14" t="s">
        <v>14</v>
      </c>
      <c r="C357" s="30">
        <f>SUMIF('AP Line Items'!C:C,"INTEGRIS",'AP Line Items'!E:E)</f>
        <v>317</v>
      </c>
      <c r="D357" s="14">
        <f>COUNTIF('AP Line Items'!C:C,"INTEGRIS")</f>
        <v>1</v>
      </c>
      <c r="E357" s="31">
        <f t="shared" si="1"/>
        <v>0.00002723731838</v>
      </c>
    </row>
    <row r="358" ht="15.75" customHeight="1">
      <c r="A358" s="14" t="s">
        <v>429</v>
      </c>
      <c r="B358" s="14" t="s">
        <v>14</v>
      </c>
      <c r="C358" s="30">
        <f>SUMIF('AP Line Items'!C:C,"DELMARVA AUTO GLASS",'AP Line Items'!E:E)</f>
        <v>315</v>
      </c>
      <c r="D358" s="14">
        <f>COUNTIF('AP Line Items'!C:C,"DELMARVA AUTO GLASS")</f>
        <v>1</v>
      </c>
      <c r="E358" s="31">
        <f t="shared" si="1"/>
        <v>0.0000270654741</v>
      </c>
    </row>
    <row r="359" ht="15.75" customHeight="1">
      <c r="A359" s="14" t="s">
        <v>430</v>
      </c>
      <c r="B359" s="14" t="s">
        <v>14</v>
      </c>
      <c r="C359" s="30">
        <f>SUMIF('AP Line Items'!C:C,"SHERWIN-WILLIAMS",'AP Line Items'!E:E)</f>
        <v>313.73</v>
      </c>
      <c r="D359" s="14">
        <f>COUNTIF('AP Line Items'!C:C,"SHERWIN-WILLIAMS")</f>
        <v>2</v>
      </c>
      <c r="E359" s="31">
        <f t="shared" si="1"/>
        <v>0.00002695635298</v>
      </c>
    </row>
    <row r="360" ht="15.75" customHeight="1">
      <c r="A360" s="14" t="s">
        <v>431</v>
      </c>
      <c r="B360" s="14" t="s">
        <v>14</v>
      </c>
      <c r="C360" s="30">
        <f>SUMIF('AP Line Items'!C:C,"SHERRY A JUSTICE",'AP Line Items'!E:E)</f>
        <v>310</v>
      </c>
      <c r="D360" s="14">
        <f>COUNTIF('AP Line Items'!C:C,"SHERRY A JUSTICE")</f>
        <v>2</v>
      </c>
      <c r="E360" s="31">
        <f t="shared" si="1"/>
        <v>0.0000266358634</v>
      </c>
    </row>
    <row r="361" ht="15.75" customHeight="1">
      <c r="A361" s="14" t="s">
        <v>432</v>
      </c>
      <c r="B361" s="14" t="s">
        <v>14</v>
      </c>
      <c r="C361" s="30">
        <f>SUMIF('AP Line Items'!C:C,"ZACHARY T HALL",'AP Line Items'!E:E)</f>
        <v>300</v>
      </c>
      <c r="D361" s="14">
        <f>COUNTIF('AP Line Items'!C:C,"ZACHARY T HALL")</f>
        <v>2</v>
      </c>
      <c r="E361" s="31">
        <f t="shared" si="1"/>
        <v>0.000025776642</v>
      </c>
    </row>
    <row r="362" ht="15.75" customHeight="1">
      <c r="A362" s="14" t="s">
        <v>433</v>
      </c>
      <c r="B362" s="14" t="s">
        <v>14</v>
      </c>
      <c r="C362" s="30">
        <f>SUMIF('AP Line Items'!C:C,"THEODORE JASON GELLETLY",'AP Line Items'!E:E)</f>
        <v>300</v>
      </c>
      <c r="D362" s="14">
        <f>COUNTIF('AP Line Items'!C:C,"THEODORE JASON GELLETLY")</f>
        <v>1</v>
      </c>
      <c r="E362" s="31">
        <f t="shared" si="1"/>
        <v>0.000025776642</v>
      </c>
    </row>
    <row r="363" ht="15.75" customHeight="1">
      <c r="A363" s="14" t="s">
        <v>434</v>
      </c>
      <c r="B363" s="14" t="s">
        <v>14</v>
      </c>
      <c r="C363" s="30">
        <f>SUMIF('AP Line Items'!C:C,"LAWRENCE TIM",'AP Line Items'!E:E)</f>
        <v>292</v>
      </c>
      <c r="D363" s="14">
        <f>COUNTIF('AP Line Items'!C:C,"LAWRENCE TIM")</f>
        <v>2</v>
      </c>
      <c r="E363" s="31">
        <f t="shared" si="1"/>
        <v>0.00002508926488</v>
      </c>
    </row>
    <row r="364" ht="15.75" customHeight="1">
      <c r="A364" s="14" t="s">
        <v>435</v>
      </c>
      <c r="B364" s="14" t="s">
        <v>14</v>
      </c>
      <c r="C364" s="30">
        <f>SUMIF('AP Line Items'!C:C,"MARYLAND COASTAL BAYS FOUNDATION",'AP Line Items'!E:E)</f>
        <v>288.24</v>
      </c>
      <c r="D364" s="14">
        <f>COUNTIF('AP Line Items'!C:C,"MARYLAND COASTAL BAYS FOUNDATION")</f>
        <v>1</v>
      </c>
      <c r="E364" s="31">
        <f t="shared" si="1"/>
        <v>0.00002476619763</v>
      </c>
    </row>
    <row r="365" ht="15.75" customHeight="1">
      <c r="A365" s="14" t="s">
        <v>436</v>
      </c>
      <c r="B365" s="14" t="s">
        <v>14</v>
      </c>
      <c r="C365" s="30">
        <f>SUMIF('AP Line Items'!C:C,"EAST TO WEST EMBROIDERY &amp; DESIGN",'AP Line Items'!E:E)</f>
        <v>282.85</v>
      </c>
      <c r="D365" s="14">
        <f>COUNTIF('AP Line Items'!C:C,"EAST TO WEST EMBROIDERY &amp; DESIGN")</f>
        <v>2</v>
      </c>
      <c r="E365" s="31">
        <f t="shared" si="1"/>
        <v>0.0000243030773</v>
      </c>
    </row>
    <row r="366" ht="15.75" customHeight="1">
      <c r="A366" s="14" t="s">
        <v>437</v>
      </c>
      <c r="B366" s="14" t="s">
        <v>14</v>
      </c>
      <c r="C366" s="30">
        <f>SUMIF('AP Line Items'!C:C,"RAYNE'S SAND &amp; GRAVEL",'AP Line Items'!E:E)</f>
        <v>279.01</v>
      </c>
      <c r="D366" s="14">
        <f>COUNTIF('AP Line Items'!C:C,"RAYNE'S SAND &amp; GRAVEL")</f>
        <v>2</v>
      </c>
      <c r="E366" s="31">
        <f t="shared" si="1"/>
        <v>0.00002397313628</v>
      </c>
    </row>
    <row r="367" ht="15.75" customHeight="1">
      <c r="A367" s="14" t="s">
        <v>438</v>
      </c>
      <c r="B367" s="14" t="s">
        <v>14</v>
      </c>
      <c r="C367" s="30">
        <f>SUMIF('AP Line Items'!C:C,"LESMA",'AP Line Items'!E:E)</f>
        <v>275</v>
      </c>
      <c r="D367" s="14">
        <f>COUNTIF('AP Line Items'!C:C,"LESMA")</f>
        <v>1</v>
      </c>
      <c r="E367" s="31">
        <f t="shared" si="1"/>
        <v>0.0000236285885</v>
      </c>
    </row>
    <row r="368" ht="15.75" customHeight="1">
      <c r="A368" s="14" t="s">
        <v>439</v>
      </c>
      <c r="B368" s="14" t="s">
        <v>20</v>
      </c>
      <c r="C368" s="30">
        <f>SUMIF('AP Line Items'!C:C,"AMERICAN SAFETY UTILITY",'AP Line Items'!E:E)</f>
        <v>270.5</v>
      </c>
      <c r="D368" s="14">
        <f>COUNTIF('AP Line Items'!C:C,"AMERICAN SAFETY UTILITY")</f>
        <v>1</v>
      </c>
      <c r="E368" s="31">
        <f t="shared" si="1"/>
        <v>0.00002324193887</v>
      </c>
    </row>
    <row r="369" ht="15.75" customHeight="1">
      <c r="A369" s="14" t="s">
        <v>440</v>
      </c>
      <c r="B369" s="14" t="s">
        <v>14</v>
      </c>
      <c r="C369" s="30">
        <f>SUMIF('AP Line Items'!C:C,"DAVIS JR DAVID",'AP Line Items'!E:E)</f>
        <v>248</v>
      </c>
      <c r="D369" s="14">
        <f>COUNTIF('AP Line Items'!C:C,"DAVIS JR DAVID")</f>
        <v>1</v>
      </c>
      <c r="E369" s="31">
        <f t="shared" si="1"/>
        <v>0.00002130869072</v>
      </c>
    </row>
    <row r="370" ht="15.75" customHeight="1">
      <c r="A370" s="14" t="s">
        <v>441</v>
      </c>
      <c r="B370" s="14" t="s">
        <v>14</v>
      </c>
      <c r="C370" s="30">
        <f>SUMIF('AP Line Items'!C:C,"THOMAS ZEMBETIS",'AP Line Items'!E:E)</f>
        <v>240</v>
      </c>
      <c r="D370" s="14">
        <f>COUNTIF('AP Line Items'!C:C,"THOMAS ZEMBETIS")</f>
        <v>1</v>
      </c>
      <c r="E370" s="31">
        <f t="shared" si="1"/>
        <v>0.0000206213136</v>
      </c>
    </row>
    <row r="371" ht="15.75" customHeight="1">
      <c r="A371" s="14" t="s">
        <v>442</v>
      </c>
      <c r="B371" s="14" t="s">
        <v>14</v>
      </c>
      <c r="C371" s="30">
        <f>SUMIF('AP Line Items'!C:C,"JAMES MAPP",'AP Line Items'!E:E)</f>
        <v>237.15</v>
      </c>
      <c r="D371" s="14">
        <f>COUNTIF('AP Line Items'!C:C,"JAMES MAPP")</f>
        <v>1</v>
      </c>
      <c r="E371" s="31">
        <f t="shared" si="1"/>
        <v>0.0000203764355</v>
      </c>
    </row>
    <row r="372" ht="15.75" customHeight="1">
      <c r="A372" s="14" t="s">
        <v>443</v>
      </c>
      <c r="B372" s="14" t="s">
        <v>14</v>
      </c>
      <c r="C372" s="30">
        <f>SUMIF('AP Line Items'!C:C,"JENSEN KELSEY",'AP Line Items'!E:E)</f>
        <v>236.27</v>
      </c>
      <c r="D372" s="14">
        <f>COUNTIF('AP Line Items'!C:C,"JENSEN KELSEY")</f>
        <v>4</v>
      </c>
      <c r="E372" s="31">
        <f t="shared" si="1"/>
        <v>0.00002030082401</v>
      </c>
    </row>
    <row r="373" ht="15.75" customHeight="1">
      <c r="A373" s="14" t="s">
        <v>444</v>
      </c>
      <c r="B373" s="14" t="s">
        <v>14</v>
      </c>
      <c r="C373" s="30">
        <f>SUMIF('AP Line Items'!C:C,"MAYOR ZACK TYNDALL",'AP Line Items'!E:E)</f>
        <v>210.41</v>
      </c>
      <c r="D373" s="14">
        <f>COUNTIF('AP Line Items'!C:C,"MAYOR ZACK TYNDALL")</f>
        <v>1</v>
      </c>
      <c r="E373" s="31">
        <f t="shared" si="1"/>
        <v>0.00001807887747</v>
      </c>
    </row>
    <row r="374" ht="15.75" customHeight="1">
      <c r="A374" s="14" t="s">
        <v>445</v>
      </c>
      <c r="B374" s="14" t="s">
        <v>14</v>
      </c>
      <c r="C374" s="30">
        <f>SUMIF('AP Line Items'!C:C,"BEAR INDUSTRIES",'AP Line Items'!E:E)</f>
        <v>210</v>
      </c>
      <c r="D374" s="14">
        <f>COUNTIF('AP Line Items'!C:C,"BEAR INDUSTRIES")</f>
        <v>1</v>
      </c>
      <c r="E374" s="31">
        <f t="shared" si="1"/>
        <v>0.0000180436494</v>
      </c>
    </row>
    <row r="375" ht="15.75" customHeight="1">
      <c r="A375" s="14" t="s">
        <v>446</v>
      </c>
      <c r="B375" s="14" t="s">
        <v>14</v>
      </c>
      <c r="C375" s="30">
        <f>SUMIF('AP Line Items'!C:C,"LEGAL SHIELD",'AP Line Items'!E:E)</f>
        <v>207.35</v>
      </c>
      <c r="D375" s="14">
        <f>COUNTIF('AP Line Items'!C:C,"LEGAL SHIELD")</f>
        <v>11</v>
      </c>
      <c r="E375" s="31">
        <f t="shared" si="1"/>
        <v>0.00001781595573</v>
      </c>
    </row>
    <row r="376" ht="15.75" customHeight="1">
      <c r="A376" s="14" t="s">
        <v>447</v>
      </c>
      <c r="B376" s="14" t="s">
        <v>14</v>
      </c>
      <c r="C376" s="30">
        <f>SUMIF('AP Line Items'!C:C,"ROGELIO RODRIQUEZ-PEREZ",'AP Line Items'!E:E)</f>
        <v>206</v>
      </c>
      <c r="D376" s="14">
        <f>COUNTIF('AP Line Items'!C:C,"ROGELIO RODRIQUEZ-PEREZ")</f>
        <v>1</v>
      </c>
      <c r="E376" s="31">
        <f t="shared" si="1"/>
        <v>0.00001769996084</v>
      </c>
    </row>
    <row r="377" ht="15.75" customHeight="1">
      <c r="A377" s="14" t="s">
        <v>448</v>
      </c>
      <c r="B377" s="14" t="s">
        <v>14</v>
      </c>
      <c r="C377" s="30">
        <f>SUMIF('AP Line Items'!C:C,"BURKEY JACOB",'AP Line Items'!E:E)</f>
        <v>202</v>
      </c>
      <c r="D377" s="14">
        <f>COUNTIF('AP Line Items'!C:C,"BURKEY JACOB")</f>
        <v>2</v>
      </c>
      <c r="E377" s="31">
        <f t="shared" si="1"/>
        <v>0.00001735627228</v>
      </c>
    </row>
    <row r="378" ht="15.75" customHeight="1">
      <c r="A378" s="14" t="s">
        <v>449</v>
      </c>
      <c r="B378" s="14" t="s">
        <v>14</v>
      </c>
      <c r="C378" s="30">
        <f>SUMIF('AP Line Items'!C:C,"WIENHOLD AUGUST J",'AP Line Items'!E:E)</f>
        <v>200.52</v>
      </c>
      <c r="D378" s="14">
        <f>COUNTIF('AP Line Items'!C:C,"WIENHOLD AUGUST J")</f>
        <v>2</v>
      </c>
      <c r="E378" s="31">
        <f t="shared" si="1"/>
        <v>0.00001722910751</v>
      </c>
    </row>
    <row r="379" ht="15.75" customHeight="1">
      <c r="A379" s="14" t="s">
        <v>450</v>
      </c>
      <c r="B379" s="14" t="s">
        <v>14</v>
      </c>
      <c r="C379" s="30">
        <f>SUMIF('AP Line Items'!C:C,"LATCHUM JAMES",'AP Line Items'!E:E)</f>
        <v>200</v>
      </c>
      <c r="D379" s="14">
        <f>COUNTIF('AP Line Items'!C:C,"LATCHUM JAMES")</f>
        <v>1</v>
      </c>
      <c r="E379" s="31">
        <f t="shared" si="1"/>
        <v>0.000017184428</v>
      </c>
    </row>
    <row r="380" ht="15.75" customHeight="1">
      <c r="A380" s="14" t="s">
        <v>451</v>
      </c>
      <c r="B380" s="14" t="s">
        <v>14</v>
      </c>
      <c r="C380" s="30">
        <f>SUMIF('AP Line Items'!C:C,"MILLER PAUL",'AP Line Items'!E:E)</f>
        <v>200</v>
      </c>
      <c r="D380" s="14">
        <f>COUNTIF('AP Line Items'!C:C,"MILLER PAUL")</f>
        <v>1</v>
      </c>
      <c r="E380" s="31">
        <f t="shared" si="1"/>
        <v>0.000017184428</v>
      </c>
    </row>
    <row r="381" ht="15.75" customHeight="1">
      <c r="A381" s="14" t="s">
        <v>452</v>
      </c>
      <c r="B381" s="14" t="s">
        <v>18</v>
      </c>
      <c r="C381" s="30">
        <f>SUMIF('AP Line Items'!C:C,"ADVANCE AUTO PARTS",'AP Line Items'!E:E)</f>
        <v>194.32</v>
      </c>
      <c r="D381" s="14">
        <f>COUNTIF('AP Line Items'!C:C,"ADVANCE AUTO PARTS")</f>
        <v>2</v>
      </c>
      <c r="E381" s="31">
        <f t="shared" si="1"/>
        <v>0.00001669639024</v>
      </c>
    </row>
    <row r="382" ht="15.75" customHeight="1">
      <c r="A382" s="14" t="s">
        <v>453</v>
      </c>
      <c r="B382" s="14" t="s">
        <v>14</v>
      </c>
      <c r="C382" s="30">
        <f>SUMIF('AP Line Items'!C:C,"CAMPBELL MICHAEL",'AP Line Items'!E:E)</f>
        <v>190.8</v>
      </c>
      <c r="D382" s="14">
        <f>COUNTIF('AP Line Items'!C:C,"CAMPBELL MICHAEL")</f>
        <v>1</v>
      </c>
      <c r="E382" s="31">
        <f t="shared" si="1"/>
        <v>0.00001639394431</v>
      </c>
    </row>
    <row r="383" ht="15.75" customHeight="1">
      <c r="A383" s="14" t="s">
        <v>454</v>
      </c>
      <c r="B383" s="14" t="s">
        <v>14</v>
      </c>
      <c r="C383" s="30">
        <f>SUMIF('AP Line Items'!C:C,"PARKINSON ALAN",'AP Line Items'!E:E)</f>
        <v>188</v>
      </c>
      <c r="D383" s="14">
        <f>COUNTIF('AP Line Items'!C:C,"PARKINSON ALAN")</f>
        <v>2</v>
      </c>
      <c r="E383" s="31">
        <f t="shared" si="1"/>
        <v>0.00001615336232</v>
      </c>
    </row>
    <row r="384" ht="15.75" customHeight="1">
      <c r="A384" s="14" t="s">
        <v>455</v>
      </c>
      <c r="B384" s="14" t="s">
        <v>14</v>
      </c>
      <c r="C384" s="30">
        <f>SUMIF('AP Line Items'!C:C,"MCMASTER-CARR",'AP Line Items'!E:E)</f>
        <v>183.71</v>
      </c>
      <c r="D384" s="14">
        <f>COUNTIF('AP Line Items'!C:C,"MCMASTER-CARR")</f>
        <v>2</v>
      </c>
      <c r="E384" s="31">
        <f t="shared" si="1"/>
        <v>0.00001578475634</v>
      </c>
    </row>
    <row r="385" ht="15.75" customHeight="1">
      <c r="A385" s="14" t="s">
        <v>456</v>
      </c>
      <c r="B385" s="14" t="s">
        <v>14</v>
      </c>
      <c r="C385" s="30">
        <f>SUMIF('AP Line Items'!C:C,"SIGNS ILLUSTRATED",'AP Line Items'!E:E)</f>
        <v>181</v>
      </c>
      <c r="D385" s="14">
        <f>COUNTIF('AP Line Items'!C:C,"SIGNS ILLUSTRATED")</f>
        <v>1</v>
      </c>
      <c r="E385" s="31">
        <f t="shared" si="1"/>
        <v>0.00001555190734</v>
      </c>
    </row>
    <row r="386" ht="15.75" customHeight="1">
      <c r="A386" s="14" t="s">
        <v>457</v>
      </c>
      <c r="B386" s="14" t="s">
        <v>14</v>
      </c>
      <c r="C386" s="30">
        <f>SUMIF('AP Line Items'!C:C,"CAMPBELL JOE",'AP Line Items'!E:E)</f>
        <v>180.7</v>
      </c>
      <c r="D386" s="14">
        <f>COUNTIF('AP Line Items'!C:C,"CAMPBELL JOE")</f>
        <v>1</v>
      </c>
      <c r="E386" s="31">
        <f t="shared" si="1"/>
        <v>0.0000155261307</v>
      </c>
    </row>
    <row r="387" ht="15.75" customHeight="1">
      <c r="A387" s="14" t="s">
        <v>458</v>
      </c>
      <c r="B387" s="14" t="s">
        <v>22</v>
      </c>
      <c r="C387" s="30">
        <f>SUMIF('AP Line Items'!C:C,"MARYLAND MUNICIPAL ATTORNEYS ASSOCIATION",'AP Line Items'!E:E)</f>
        <v>180</v>
      </c>
      <c r="D387" s="14">
        <f>COUNTIF('AP Line Items'!C:C,"MARYLAND MUNICIPAL ATTORNEYS ASSOCIATION")</f>
        <v>2</v>
      </c>
      <c r="E387" s="31">
        <f t="shared" si="1"/>
        <v>0.0000154659852</v>
      </c>
    </row>
    <row r="388" ht="15.75" customHeight="1">
      <c r="A388" s="14" t="s">
        <v>459</v>
      </c>
      <c r="B388" s="14" t="s">
        <v>14</v>
      </c>
      <c r="C388" s="30">
        <f>SUMIF('AP Line Items'!C:C,"PLAYGROUND GUARDIAN",'AP Line Items'!E:E)</f>
        <v>171.29</v>
      </c>
      <c r="D388" s="14">
        <f>COUNTIF('AP Line Items'!C:C,"PLAYGROUND GUARDIAN")</f>
        <v>1</v>
      </c>
      <c r="E388" s="31">
        <f t="shared" si="1"/>
        <v>0.00001471760336</v>
      </c>
    </row>
    <row r="389" ht="15.75" customHeight="1">
      <c r="A389" s="14" t="s">
        <v>460</v>
      </c>
      <c r="B389" s="14" t="s">
        <v>14</v>
      </c>
      <c r="C389" s="30">
        <f>SUMIF('AP Line Items'!C:C,"DOWNING ARNOLD",'AP Line Items'!E:E)</f>
        <v>169.95</v>
      </c>
      <c r="D389" s="14">
        <f>COUNTIF('AP Line Items'!C:C,"DOWNING ARNOLD")</f>
        <v>1</v>
      </c>
      <c r="E389" s="31">
        <f t="shared" si="1"/>
        <v>0.00001460246769</v>
      </c>
    </row>
    <row r="390" ht="15.75" customHeight="1">
      <c r="A390" s="14" t="s">
        <v>461</v>
      </c>
      <c r="B390" s="14" t="s">
        <v>14</v>
      </c>
      <c r="C390" s="30">
        <f>SUMIF('AP Line Items'!C:C,"ADVANCED RUBBER PRODUCTS DIV",'AP Line Items'!E:E)</f>
        <v>155.49</v>
      </c>
      <c r="D390" s="14">
        <f>COUNTIF('AP Line Items'!C:C,"ADVANCED RUBBER PRODUCTS DIV")</f>
        <v>1</v>
      </c>
      <c r="E390" s="31">
        <f t="shared" si="1"/>
        <v>0.00001336003355</v>
      </c>
    </row>
    <row r="391" ht="15.75" customHeight="1">
      <c r="A391" s="14" t="s">
        <v>462</v>
      </c>
      <c r="B391" s="14" t="s">
        <v>14</v>
      </c>
      <c r="C391" s="30">
        <f>SUMIF('AP Line Items'!C:C,"DRIVEN OVER GIVEN",'AP Line Items'!E:E)</f>
        <v>155</v>
      </c>
      <c r="D391" s="14">
        <f>COUNTIF('AP Line Items'!C:C,"DRIVEN OVER GIVEN")</f>
        <v>1</v>
      </c>
      <c r="E391" s="31">
        <f t="shared" si="1"/>
        <v>0.0000133179317</v>
      </c>
    </row>
    <row r="392" ht="15.75" customHeight="1">
      <c r="A392" s="14" t="s">
        <v>463</v>
      </c>
      <c r="B392" s="14" t="s">
        <v>14</v>
      </c>
      <c r="C392" s="30">
        <f>SUMIF('AP Line Items'!C:C,"NATIONAL MAIN STREET CENTER",'AP Line Items'!E:E)</f>
        <v>150</v>
      </c>
      <c r="D392" s="14">
        <f>COUNTIF('AP Line Items'!C:C,"NATIONAL MAIN STREET CENTER")</f>
        <v>1</v>
      </c>
      <c r="E392" s="31">
        <f t="shared" si="1"/>
        <v>0.000012888321</v>
      </c>
    </row>
    <row r="393" ht="15.75" customHeight="1">
      <c r="A393" s="14" t="s">
        <v>464</v>
      </c>
      <c r="B393" s="14" t="s">
        <v>14</v>
      </c>
      <c r="C393" s="30">
        <f>SUMIF('AP Line Items'!C:C,"WORCESTER COUNTY ART COUNCIL",'AP Line Items'!E:E)</f>
        <v>150</v>
      </c>
      <c r="D393" s="14">
        <f>COUNTIF('AP Line Items'!C:C,"WORCESTER COUNTY ART COUNCIL")</f>
        <v>2</v>
      </c>
      <c r="E393" s="31">
        <f t="shared" si="1"/>
        <v>0.000012888321</v>
      </c>
    </row>
    <row r="394" ht="15.75" customHeight="1">
      <c r="A394" s="14" t="s">
        <v>465</v>
      </c>
      <c r="B394" s="14" t="s">
        <v>14</v>
      </c>
      <c r="C394" s="30">
        <f>SUMIF('AP Line Items'!C:C,"NCSI",'AP Line Items'!E:E)</f>
        <v>140</v>
      </c>
      <c r="D394" s="14">
        <f>COUNTIF('AP Line Items'!C:C,"NCSI")</f>
        <v>7</v>
      </c>
      <c r="E394" s="31">
        <f t="shared" si="1"/>
        <v>0.0000120290996</v>
      </c>
    </row>
    <row r="395" ht="15.75" customHeight="1">
      <c r="A395" s="14" t="s">
        <v>466</v>
      </c>
      <c r="B395" s="14" t="s">
        <v>14</v>
      </c>
      <c r="C395" s="30">
        <f>SUMIF('AP Line Items'!C:C,"DUKES KEITH ALAN",'AP Line Items'!E:E)</f>
        <v>137.8</v>
      </c>
      <c r="D395" s="14">
        <f>COUNTIF('AP Line Items'!C:C,"DUKES KEITH ALAN")</f>
        <v>1</v>
      </c>
      <c r="E395" s="31">
        <f t="shared" si="1"/>
        <v>0.00001184007089</v>
      </c>
    </row>
    <row r="396" ht="15.75" customHeight="1">
      <c r="A396" s="14" t="s">
        <v>467</v>
      </c>
      <c r="B396" s="14" t="s">
        <v>14</v>
      </c>
      <c r="C396" s="30">
        <f>SUMIF('AP Line Items'!C:C,"MARSHALL AVERY",'AP Line Items'!E:E)</f>
        <v>119.88</v>
      </c>
      <c r="D396" s="14">
        <f>COUNTIF('AP Line Items'!C:C,"MARSHALL AVERY")</f>
        <v>2</v>
      </c>
      <c r="E396" s="31">
        <f t="shared" si="1"/>
        <v>0.00001030034614</v>
      </c>
    </row>
    <row r="397" ht="15.75" customHeight="1">
      <c r="A397" s="14" t="s">
        <v>468</v>
      </c>
      <c r="B397" s="14" t="s">
        <v>14</v>
      </c>
      <c r="C397" s="30">
        <f>SUMIF('AP Line Items'!C:C,"DAVIS DYLAN",'AP Line Items'!E:E)</f>
        <v>106</v>
      </c>
      <c r="D397" s="14">
        <f>COUNTIF('AP Line Items'!C:C,"DAVIS DYLAN")</f>
        <v>1</v>
      </c>
      <c r="E397" s="31">
        <f t="shared" si="1"/>
        <v>0.000009107746839</v>
      </c>
    </row>
    <row r="398" ht="15.75" customHeight="1">
      <c r="A398" s="14" t="s">
        <v>469</v>
      </c>
      <c r="B398" s="14" t="s">
        <v>14</v>
      </c>
      <c r="C398" s="30">
        <f>SUMIF('AP Line Items'!C:C,"MATHESON TRI-GAS",'AP Line Items'!E:E)</f>
        <v>101.5</v>
      </c>
      <c r="D398" s="14">
        <f>COUNTIF('AP Line Items'!C:C,"MATHESON TRI-GAS")</f>
        <v>1</v>
      </c>
      <c r="E398" s="31">
        <f t="shared" si="1"/>
        <v>0.000008721097209</v>
      </c>
    </row>
    <row r="399" ht="15.75" customHeight="1">
      <c r="A399" s="14" t="s">
        <v>470</v>
      </c>
      <c r="B399" s="14" t="s">
        <v>14</v>
      </c>
      <c r="C399" s="30">
        <f>SUMIF('AP Line Items'!C:C,"LAUREN BAUER",'AP Line Items'!E:E)</f>
        <v>100</v>
      </c>
      <c r="D399" s="14">
        <f>COUNTIF('AP Line Items'!C:C,"LAUREN BAUER")</f>
        <v>1</v>
      </c>
      <c r="E399" s="31">
        <f t="shared" si="1"/>
        <v>0.000008592213999</v>
      </c>
    </row>
    <row r="400" ht="15.75" customHeight="1">
      <c r="A400" s="14" t="s">
        <v>471</v>
      </c>
      <c r="B400" s="14" t="s">
        <v>14</v>
      </c>
      <c r="C400" s="30">
        <f>SUMIF('AP Line Items'!C:C,"JUDY BENTON",'AP Line Items'!E:E)</f>
        <v>100</v>
      </c>
      <c r="D400" s="14">
        <f>COUNTIF('AP Line Items'!C:C,"JUDY BENTON")</f>
        <v>1</v>
      </c>
      <c r="E400" s="31">
        <f t="shared" si="1"/>
        <v>0.000008592213999</v>
      </c>
    </row>
    <row r="401" ht="15.75" customHeight="1">
      <c r="A401" s="14" t="s">
        <v>472</v>
      </c>
      <c r="B401" s="14" t="s">
        <v>14</v>
      </c>
      <c r="C401" s="30">
        <f>SUMIF('AP Line Items'!C:C,"SOPHIA SEUFERT",'AP Line Items'!E:E)</f>
        <v>100</v>
      </c>
      <c r="D401" s="14">
        <f>COUNTIF('AP Line Items'!C:C,"SOPHIA SEUFERT")</f>
        <v>1</v>
      </c>
      <c r="E401" s="31">
        <f t="shared" si="1"/>
        <v>0.000008592213999</v>
      </c>
    </row>
    <row r="402" ht="15.75" customHeight="1">
      <c r="A402" s="14" t="s">
        <v>473</v>
      </c>
      <c r="B402" s="14" t="s">
        <v>14</v>
      </c>
      <c r="C402" s="30">
        <f>SUMIF('AP Line Items'!C:C,"ELLIOTT ISLAND VFC",'AP Line Items'!E:E)</f>
        <v>100</v>
      </c>
      <c r="D402" s="14">
        <f>COUNTIF('AP Line Items'!C:C,"ELLIOTT ISLAND VFC")</f>
        <v>1</v>
      </c>
      <c r="E402" s="31">
        <f t="shared" si="1"/>
        <v>0.000008592213999</v>
      </c>
    </row>
    <row r="403" ht="15.75" customHeight="1">
      <c r="A403" s="14" t="s">
        <v>474</v>
      </c>
      <c r="B403" s="14" t="s">
        <v>14</v>
      </c>
      <c r="C403" s="30">
        <f>SUMIF('AP Line Items'!C:C,"POWELLVILLE UNITED METTHODIST CHURCH",'AP Line Items'!E:E)</f>
        <v>100</v>
      </c>
      <c r="D403" s="14">
        <f>COUNTIF('AP Line Items'!C:C,"POWELLVILLE UNITED METTHODIST CHURCH")</f>
        <v>1</v>
      </c>
      <c r="E403" s="31">
        <f t="shared" si="1"/>
        <v>0.000008592213999</v>
      </c>
    </row>
    <row r="404" ht="15.75" customHeight="1">
      <c r="A404" s="14" t="s">
        <v>475</v>
      </c>
      <c r="B404" s="14" t="s">
        <v>14</v>
      </c>
      <c r="C404" s="30">
        <f>SUMIF('AP Line Items'!C:C,"XERCES SOCIETY",'AP Line Items'!E:E)</f>
        <v>100</v>
      </c>
      <c r="D404" s="14">
        <f>COUNTIF('AP Line Items'!C:C,"XERCES SOCIETY")</f>
        <v>1</v>
      </c>
      <c r="E404" s="31">
        <f t="shared" si="1"/>
        <v>0.000008592213999</v>
      </c>
    </row>
    <row r="405" ht="15.75" customHeight="1">
      <c r="A405" s="14" t="s">
        <v>476</v>
      </c>
      <c r="B405" s="14" t="s">
        <v>14</v>
      </c>
      <c r="C405" s="30">
        <f>SUMIF('AP Line Items'!C:C,"LINDA JOHNSTON",'AP Line Items'!E:E)</f>
        <v>100</v>
      </c>
      <c r="D405" s="14">
        <f>COUNTIF('AP Line Items'!C:C,"LINDA JOHNSTON")</f>
        <v>1</v>
      </c>
      <c r="E405" s="31">
        <f t="shared" si="1"/>
        <v>0.000008592213999</v>
      </c>
    </row>
    <row r="406" ht="15.75" customHeight="1">
      <c r="A406" s="14" t="s">
        <v>477</v>
      </c>
      <c r="B406" s="14" t="s">
        <v>14</v>
      </c>
      <c r="C406" s="30">
        <f>SUMIF('AP Line Items'!C:C,"COARD CHRIS",'AP Line Items'!E:E)</f>
        <v>94.97</v>
      </c>
      <c r="D406" s="14">
        <f>COUNTIF('AP Line Items'!C:C,"COARD CHRIS")</f>
        <v>2</v>
      </c>
      <c r="E406" s="31">
        <f t="shared" si="1"/>
        <v>0.000008160025635</v>
      </c>
    </row>
    <row r="407" ht="15.75" customHeight="1">
      <c r="A407" s="14" t="s">
        <v>478</v>
      </c>
      <c r="B407" s="14" t="s">
        <v>14</v>
      </c>
      <c r="C407" s="30">
        <f>SUMIF('AP Line Items'!C:C,"WEST BRANDON",'AP Line Items'!E:E)</f>
        <v>94.88</v>
      </c>
      <c r="D407" s="14">
        <f>COUNTIF('AP Line Items'!C:C,"WEST BRANDON")</f>
        <v>1</v>
      </c>
      <c r="E407" s="31">
        <f t="shared" si="1"/>
        <v>0.000008152292642</v>
      </c>
    </row>
    <row r="408" ht="15.75" customHeight="1">
      <c r="A408" s="14" t="s">
        <v>479</v>
      </c>
      <c r="B408" s="14" t="s">
        <v>14</v>
      </c>
      <c r="C408" s="30">
        <f>SUMIF('AP Line Items'!C:C,"BROWN LAURA",'AP Line Items'!E:E)</f>
        <v>92.22</v>
      </c>
      <c r="D408" s="14">
        <f>COUNTIF('AP Line Items'!C:C,"BROWN LAURA")</f>
        <v>1</v>
      </c>
      <c r="E408" s="31">
        <f t="shared" si="1"/>
        <v>0.00000792373975</v>
      </c>
    </row>
    <row r="409" ht="15.75" customHeight="1">
      <c r="A409" s="14" t="s">
        <v>480</v>
      </c>
      <c r="B409" s="14" t="s">
        <v>14</v>
      </c>
      <c r="C409" s="30">
        <f>SUMIF('AP Line Items'!C:C,"DOWNING BERNITA G",'AP Line Items'!E:E)</f>
        <v>90</v>
      </c>
      <c r="D409" s="14">
        <f>COUNTIF('AP Line Items'!C:C,"DOWNING BERNITA G")</f>
        <v>1</v>
      </c>
      <c r="E409" s="31">
        <f t="shared" si="1"/>
        <v>0.000007732992599</v>
      </c>
    </row>
    <row r="410" ht="15.75" customHeight="1">
      <c r="A410" s="14" t="s">
        <v>481</v>
      </c>
      <c r="B410" s="14" t="s">
        <v>14</v>
      </c>
      <c r="C410" s="30">
        <f>SUMIF('AP Line Items'!C:C,"DARRELL TAYLOR",'AP Line Items'!E:E)</f>
        <v>85</v>
      </c>
      <c r="D410" s="14">
        <f>COUNTIF('AP Line Items'!C:C,"DARRELL TAYLOR")</f>
        <v>1</v>
      </c>
      <c r="E410" s="31">
        <f t="shared" si="1"/>
        <v>0.000007303381899</v>
      </c>
    </row>
    <row r="411" ht="15.75" customHeight="1">
      <c r="A411" s="14" t="s">
        <v>482</v>
      </c>
      <c r="B411" s="14" t="s">
        <v>18</v>
      </c>
      <c r="C411" s="30">
        <f>SUMIF('AP Line Items'!C:C,"FLEET PRIDE",'AP Line Items'!E:E)</f>
        <v>83.99</v>
      </c>
      <c r="D411" s="14">
        <f>COUNTIF('AP Line Items'!C:C,"FLEET PRIDE")</f>
        <v>1</v>
      </c>
      <c r="E411" s="31">
        <f t="shared" si="1"/>
        <v>0.000007216600538</v>
      </c>
    </row>
    <row r="412" ht="15.75" customHeight="1">
      <c r="A412" s="14" t="s">
        <v>483</v>
      </c>
      <c r="B412" s="14" t="s">
        <v>14</v>
      </c>
      <c r="C412" s="30">
        <f>SUMIF('AP Line Items'!C:C,"MARYLAND MUNICIPAL CLERKS ASSOCIATION",'AP Line Items'!E:E)</f>
        <v>60</v>
      </c>
      <c r="D412" s="14">
        <f>COUNTIF('AP Line Items'!C:C,"MARYLAND MUNICIPAL CLERKS ASSOCIATION")</f>
        <v>1</v>
      </c>
      <c r="E412" s="31">
        <f t="shared" si="1"/>
        <v>0.000005155328399</v>
      </c>
    </row>
    <row r="413" ht="15.75" customHeight="1">
      <c r="A413" s="14" t="s">
        <v>484</v>
      </c>
      <c r="B413" s="14" t="s">
        <v>14</v>
      </c>
      <c r="C413" s="30">
        <f>SUMIF('AP Line Items'!C:C,"CAM BUNTING",'AP Line Items'!E:E)</f>
        <v>50</v>
      </c>
      <c r="D413" s="14">
        <f>COUNTIF('AP Line Items'!C:C,"CAM BUNTING")</f>
        <v>1</v>
      </c>
      <c r="E413" s="31">
        <f t="shared" si="1"/>
        <v>0.000004296106999</v>
      </c>
    </row>
    <row r="414" ht="15.75" customHeight="1">
      <c r="A414" s="14" t="s">
        <v>485</v>
      </c>
      <c r="B414" s="14" t="s">
        <v>14</v>
      </c>
      <c r="C414" s="30">
        <f>SUMIF('AP Line Items'!C:C,"HANNAH BRITTINGHAM",'AP Line Items'!E:E)</f>
        <v>44.56</v>
      </c>
      <c r="D414" s="14">
        <f>COUNTIF('AP Line Items'!C:C,"HANNAH BRITTINGHAM")</f>
        <v>1</v>
      </c>
      <c r="E414" s="31">
        <f t="shared" si="1"/>
        <v>0.000003828690558</v>
      </c>
    </row>
    <row r="415" ht="15.75" customHeight="1">
      <c r="A415" s="14" t="s">
        <v>486</v>
      </c>
      <c r="B415" s="14" t="s">
        <v>14</v>
      </c>
      <c r="C415" s="30">
        <f>SUMIF('AP Line Items'!C:C,"BRITTNEY TOMSKY",'AP Line Items'!E:E)</f>
        <v>35</v>
      </c>
      <c r="D415" s="14">
        <f>COUNTIF('AP Line Items'!C:C,"BRITTNEY TOMSKY")</f>
        <v>1</v>
      </c>
      <c r="E415" s="31">
        <f t="shared" si="1"/>
        <v>0.0000030072749</v>
      </c>
    </row>
    <row r="416" ht="15.75" customHeight="1">
      <c r="A416" s="14" t="s">
        <v>487</v>
      </c>
      <c r="B416" s="14" t="s">
        <v>14</v>
      </c>
      <c r="C416" s="30">
        <f>SUMIF('AP Line Items'!C:C,"JARUIS FOREMAN",'AP Line Items'!E:E)</f>
        <v>35</v>
      </c>
      <c r="D416" s="14">
        <f>COUNTIF('AP Line Items'!C:C,"JARUIS FOREMAN")</f>
        <v>1</v>
      </c>
      <c r="E416" s="31">
        <f t="shared" si="1"/>
        <v>0.0000030072749</v>
      </c>
    </row>
    <row r="417" ht="15.75" customHeight="1">
      <c r="A417" s="14" t="s">
        <v>488</v>
      </c>
      <c r="B417" s="14" t="s">
        <v>14</v>
      </c>
      <c r="C417" s="30">
        <f>SUMIF('AP Line Items'!C:C,"SHERRY BARFIELD",'AP Line Items'!E:E)</f>
        <v>35</v>
      </c>
      <c r="D417" s="14">
        <f>COUNTIF('AP Line Items'!C:C,"SHERRY BARFIELD")</f>
        <v>1</v>
      </c>
      <c r="E417" s="31">
        <f t="shared" si="1"/>
        <v>0.0000030072749</v>
      </c>
    </row>
    <row r="418" ht="15.75" customHeight="1">
      <c r="A418" s="14" t="s">
        <v>489</v>
      </c>
      <c r="B418" s="14" t="s">
        <v>14</v>
      </c>
      <c r="C418" s="30">
        <f>SUMIF('AP Line Items'!C:C,"PETER MUELLER",'AP Line Items'!E:E)</f>
        <v>35</v>
      </c>
      <c r="D418" s="14">
        <f>COUNTIF('AP Line Items'!C:C,"PETER MUELLER")</f>
        <v>1</v>
      </c>
      <c r="E418" s="31">
        <f t="shared" si="1"/>
        <v>0.0000030072749</v>
      </c>
    </row>
    <row r="419" ht="15.75" customHeight="1">
      <c r="A419" s="14" t="s">
        <v>490</v>
      </c>
      <c r="B419" s="14" t="s">
        <v>14</v>
      </c>
      <c r="C419" s="30">
        <f>SUMIF('AP Line Items'!C:C,"CHELSEY MILES",'AP Line Items'!E:E)</f>
        <v>35</v>
      </c>
      <c r="D419" s="14">
        <f>COUNTIF('AP Line Items'!C:C,"CHELSEY MILES")</f>
        <v>1</v>
      </c>
      <c r="E419" s="31">
        <f t="shared" si="1"/>
        <v>0.0000030072749</v>
      </c>
    </row>
    <row r="420" ht="15.75" customHeight="1">
      <c r="A420" s="14" t="s">
        <v>491</v>
      </c>
      <c r="B420" s="14" t="s">
        <v>14</v>
      </c>
      <c r="C420" s="30">
        <f>SUMIF('AP Line Items'!C:C,"KRISTIL WHEELER",'AP Line Items'!E:E)</f>
        <v>35</v>
      </c>
      <c r="D420" s="14">
        <f>COUNTIF('AP Line Items'!C:C,"KRISTIL WHEELER")</f>
        <v>1</v>
      </c>
      <c r="E420" s="31">
        <f t="shared" si="1"/>
        <v>0.0000030072749</v>
      </c>
    </row>
    <row r="421" ht="15.75" customHeight="1">
      <c r="A421" s="14" t="s">
        <v>492</v>
      </c>
      <c r="B421" s="14" t="s">
        <v>14</v>
      </c>
      <c r="C421" s="30">
        <f>SUMIF('AP Line Items'!C:C,"HILARY YOUNG",'AP Line Items'!E:E)</f>
        <v>35</v>
      </c>
      <c r="D421" s="14">
        <f>COUNTIF('AP Line Items'!C:C,"HILARY YOUNG")</f>
        <v>1</v>
      </c>
      <c r="E421" s="31">
        <f t="shared" si="1"/>
        <v>0.0000030072749</v>
      </c>
    </row>
    <row r="422" ht="15.75" customHeight="1">
      <c r="A422" s="14" t="s">
        <v>493</v>
      </c>
      <c r="B422" s="14" t="s">
        <v>14</v>
      </c>
      <c r="C422" s="30">
        <f>SUMIF('AP Line Items'!C:C,"JAMESHA PURNELL",'AP Line Items'!E:E)</f>
        <v>35</v>
      </c>
      <c r="D422" s="14">
        <f>COUNTIF('AP Line Items'!C:C,"JAMESHA PURNELL")</f>
        <v>1</v>
      </c>
      <c r="E422" s="31">
        <f t="shared" si="1"/>
        <v>0.0000030072749</v>
      </c>
    </row>
    <row r="423" ht="15.75" customHeight="1">
      <c r="A423" s="14" t="s">
        <v>494</v>
      </c>
      <c r="B423" s="14" t="s">
        <v>14</v>
      </c>
      <c r="C423" s="30">
        <f>SUMIF('AP Line Items'!C:C,"MARYLAND MUNICIPAL LEAGUE PKS &amp; RECREATION ASSOC",'AP Line Items'!E:E)</f>
        <v>35</v>
      </c>
      <c r="D423" s="14">
        <f>COUNTIF('AP Line Items'!C:C,"MARYLAND MUNICIPAL LEAGUE PKS &amp; RECREATION ASSOC")</f>
        <v>1</v>
      </c>
      <c r="E423" s="31">
        <f t="shared" si="1"/>
        <v>0.0000030072749</v>
      </c>
    </row>
    <row r="424" ht="15.75" customHeight="1">
      <c r="A424" s="14" t="s">
        <v>495</v>
      </c>
      <c r="B424" s="14" t="s">
        <v>14</v>
      </c>
      <c r="C424" s="30">
        <f>SUMIF('AP Line Items'!C:C,"WILLIAM HARRIS",'AP Line Items'!E:E)</f>
        <v>35</v>
      </c>
      <c r="D424" s="14">
        <f>COUNTIF('AP Line Items'!C:C,"WILLIAM HARRIS")</f>
        <v>1</v>
      </c>
      <c r="E424" s="31">
        <f t="shared" si="1"/>
        <v>0.0000030072749</v>
      </c>
    </row>
    <row r="425" ht="15.75" customHeight="1">
      <c r="A425" s="14" t="s">
        <v>496</v>
      </c>
      <c r="B425" s="14" t="s">
        <v>14</v>
      </c>
      <c r="C425" s="30">
        <f>SUMIF('AP Line Items'!C:C,"DONALD SMACK",'AP Line Items'!E:E)</f>
        <v>35</v>
      </c>
      <c r="D425" s="14">
        <f>COUNTIF('AP Line Items'!C:C,"DONALD SMACK")</f>
        <v>1</v>
      </c>
      <c r="E425" s="31">
        <f t="shared" si="1"/>
        <v>0.0000030072749</v>
      </c>
    </row>
    <row r="426" ht="15.75" customHeight="1">
      <c r="A426" s="14" t="s">
        <v>497</v>
      </c>
      <c r="B426" s="14" t="s">
        <v>14</v>
      </c>
      <c r="C426" s="30">
        <f>SUMIF('AP Line Items'!C:C,"BEN SMITH",'AP Line Items'!E:E)</f>
        <v>35</v>
      </c>
      <c r="D426" s="14">
        <f>COUNTIF('AP Line Items'!C:C,"BEN SMITH")</f>
        <v>1</v>
      </c>
      <c r="E426" s="31">
        <f t="shared" si="1"/>
        <v>0.0000030072749</v>
      </c>
    </row>
    <row r="427" ht="15.75" customHeight="1">
      <c r="A427" s="14" t="s">
        <v>498</v>
      </c>
      <c r="B427" s="14" t="s">
        <v>14</v>
      </c>
      <c r="C427" s="30">
        <f>SUMIF('AP Line Items'!C:C,"SARAH HOOPER",'AP Line Items'!E:E)</f>
        <v>35</v>
      </c>
      <c r="D427" s="14">
        <f>COUNTIF('AP Line Items'!C:C,"SARAH HOOPER")</f>
        <v>1</v>
      </c>
      <c r="E427" s="31">
        <f t="shared" si="1"/>
        <v>0.0000030072749</v>
      </c>
    </row>
    <row r="428" ht="15.75" customHeight="1">
      <c r="A428" s="14" t="s">
        <v>499</v>
      </c>
      <c r="B428" s="14" t="s">
        <v>14</v>
      </c>
      <c r="C428" s="30">
        <f>SUMIF('AP Line Items'!C:C,"ST MARTINS FELLOWSHIP CHURCH",'AP Line Items'!E:E)</f>
        <v>35</v>
      </c>
      <c r="D428" s="14">
        <f>COUNTIF('AP Line Items'!C:C,"ST MARTINS FELLOWSHIP CHURCH")</f>
        <v>1</v>
      </c>
      <c r="E428" s="31">
        <f t="shared" si="1"/>
        <v>0.0000030072749</v>
      </c>
    </row>
    <row r="429" ht="15.75" customHeight="1">
      <c r="A429" s="14" t="s">
        <v>500</v>
      </c>
      <c r="B429" s="14" t="s">
        <v>14</v>
      </c>
      <c r="C429" s="30">
        <f>SUMIF('AP Line Items'!C:C,"BRYCE NARANJO",'AP Line Items'!E:E)</f>
        <v>35</v>
      </c>
      <c r="D429" s="14">
        <f>COUNTIF('AP Line Items'!C:C,"BRYCE NARANJO")</f>
        <v>1</v>
      </c>
      <c r="E429" s="31">
        <f t="shared" si="1"/>
        <v>0.0000030072749</v>
      </c>
    </row>
    <row r="430" ht="15.75" customHeight="1">
      <c r="A430" s="14" t="s">
        <v>501</v>
      </c>
      <c r="B430" s="14" t="s">
        <v>14</v>
      </c>
      <c r="C430" s="30">
        <f>SUMIF('AP Line Items'!C:C,"KARA NUZBACK",'AP Line Items'!E:E)</f>
        <v>35</v>
      </c>
      <c r="D430" s="14">
        <f>COUNTIF('AP Line Items'!C:C,"KARA NUZBACK")</f>
        <v>1</v>
      </c>
      <c r="E430" s="31">
        <f t="shared" si="1"/>
        <v>0.0000030072749</v>
      </c>
    </row>
    <row r="431" ht="15.75" customHeight="1">
      <c r="A431" s="14" t="s">
        <v>502</v>
      </c>
      <c r="B431" s="14" t="s">
        <v>14</v>
      </c>
      <c r="C431" s="30">
        <f>SUMIF('AP Line Items'!C:C,"WILLIAM HOLLAND",'AP Line Items'!E:E)</f>
        <v>35</v>
      </c>
      <c r="D431" s="14">
        <f>COUNTIF('AP Line Items'!C:C,"WILLIAM HOLLAND")</f>
        <v>1</v>
      </c>
      <c r="E431" s="31">
        <f t="shared" si="1"/>
        <v>0.0000030072749</v>
      </c>
    </row>
    <row r="432" ht="15.75" customHeight="1">
      <c r="A432" s="14" t="s">
        <v>503</v>
      </c>
      <c r="B432" s="14" t="s">
        <v>14</v>
      </c>
      <c r="C432" s="30">
        <f>SUMIF('AP Line Items'!C:C,"LAUREN MCCARTHY",'AP Line Items'!E:E)</f>
        <v>35</v>
      </c>
      <c r="D432" s="14">
        <f>COUNTIF('AP Line Items'!C:C,"LAUREN MCCARTHY")</f>
        <v>1</v>
      </c>
      <c r="E432" s="31">
        <f t="shared" si="1"/>
        <v>0.0000030072749</v>
      </c>
    </row>
    <row r="433" ht="15.75" customHeight="1">
      <c r="A433" s="14" t="s">
        <v>504</v>
      </c>
      <c r="B433" s="14" t="s">
        <v>14</v>
      </c>
      <c r="C433" s="30">
        <f>SUMIF('AP Line Items'!C:C,"MATTHEW SWEENEY",'AP Line Items'!E:E)</f>
        <v>35</v>
      </c>
      <c r="D433" s="14">
        <f>COUNTIF('AP Line Items'!C:C,"MATTHEW SWEENEY")</f>
        <v>1</v>
      </c>
      <c r="E433" s="31">
        <f t="shared" si="1"/>
        <v>0.0000030072749</v>
      </c>
    </row>
    <row r="434" ht="15.75" customHeight="1">
      <c r="A434" s="14" t="s">
        <v>505</v>
      </c>
      <c r="B434" s="14" t="s">
        <v>14</v>
      </c>
      <c r="C434" s="30">
        <f>SUMIF('AP Line Items'!C:C,"ZEBRINA RHEM",'AP Line Items'!E:E)</f>
        <v>35</v>
      </c>
      <c r="D434" s="14">
        <f>COUNTIF('AP Line Items'!C:C,"ZEBRINA RHEM")</f>
        <v>1</v>
      </c>
      <c r="E434" s="31">
        <f t="shared" si="1"/>
        <v>0.0000030072749</v>
      </c>
    </row>
    <row r="435" ht="15.75" customHeight="1">
      <c r="A435" s="14" t="s">
        <v>506</v>
      </c>
      <c r="B435" s="14" t="s">
        <v>14</v>
      </c>
      <c r="C435" s="30">
        <f>SUMIF('AP Line Items'!C:C,"JACQUELINE JOHNSON",'AP Line Items'!E:E)</f>
        <v>35</v>
      </c>
      <c r="D435" s="14">
        <f>COUNTIF('AP Line Items'!C:C,"JACQUELINE JOHNSON")</f>
        <v>1</v>
      </c>
      <c r="E435" s="31">
        <f t="shared" si="1"/>
        <v>0.0000030072749</v>
      </c>
    </row>
    <row r="436" ht="15.75" customHeight="1">
      <c r="A436" s="14" t="s">
        <v>507</v>
      </c>
      <c r="B436" s="14" t="s">
        <v>14</v>
      </c>
      <c r="C436" s="30">
        <f>SUMIF('AP Line Items'!C:C,"WILLIAM BURKE",'AP Line Items'!E:E)</f>
        <v>35</v>
      </c>
      <c r="D436" s="14">
        <f>COUNTIF('AP Line Items'!C:C,"WILLIAM BURKE")</f>
        <v>1</v>
      </c>
      <c r="E436" s="31">
        <f t="shared" si="1"/>
        <v>0.0000030072749</v>
      </c>
    </row>
    <row r="437" ht="15.75" customHeight="1">
      <c r="A437" s="14" t="s">
        <v>508</v>
      </c>
      <c r="B437" s="14" t="s">
        <v>14</v>
      </c>
      <c r="C437" s="30">
        <f>SUMIF('AP Line Items'!C:C,"ANDREA KOMINOS",'AP Line Items'!E:E)</f>
        <v>35</v>
      </c>
      <c r="D437" s="14">
        <f>COUNTIF('AP Line Items'!C:C,"ANDREA KOMINOS")</f>
        <v>1</v>
      </c>
      <c r="E437" s="31">
        <f t="shared" si="1"/>
        <v>0.0000030072749</v>
      </c>
    </row>
    <row r="438" ht="15.75" customHeight="1">
      <c r="A438" s="14" t="s">
        <v>509</v>
      </c>
      <c r="B438" s="14" t="s">
        <v>14</v>
      </c>
      <c r="C438" s="30">
        <f>SUMIF('AP Line Items'!C:C,"BETH SISE",'AP Line Items'!E:E)</f>
        <v>35</v>
      </c>
      <c r="D438" s="14">
        <f>COUNTIF('AP Line Items'!C:C,"BETH SISE")</f>
        <v>1</v>
      </c>
      <c r="E438" s="31">
        <f t="shared" si="1"/>
        <v>0.0000030072749</v>
      </c>
    </row>
    <row r="439" ht="15.75" customHeight="1">
      <c r="A439" s="14" t="s">
        <v>510</v>
      </c>
      <c r="B439" s="14" t="s">
        <v>14</v>
      </c>
      <c r="C439" s="30">
        <f>SUMIF('AP Line Items'!C:C,"ASHLEY BRIGHT",'AP Line Items'!E:E)</f>
        <v>35</v>
      </c>
      <c r="D439" s="14">
        <f>COUNTIF('AP Line Items'!C:C,"ASHLEY BRIGHT")</f>
        <v>1</v>
      </c>
      <c r="E439" s="31">
        <f t="shared" si="1"/>
        <v>0.0000030072749</v>
      </c>
    </row>
    <row r="440" ht="15.75" customHeight="1">
      <c r="A440" s="14" t="s">
        <v>511</v>
      </c>
      <c r="B440" s="14" t="s">
        <v>14</v>
      </c>
      <c r="C440" s="30">
        <f>SUMIF('AP Line Items'!C:C,"CAITLIN SYNDER",'AP Line Items'!E:E)</f>
        <v>35</v>
      </c>
      <c r="D440" s="14">
        <f>COUNTIF('AP Line Items'!C:C,"CAITLIN SYNDER")</f>
        <v>1</v>
      </c>
      <c r="E440" s="31">
        <f t="shared" si="1"/>
        <v>0.0000030072749</v>
      </c>
    </row>
    <row r="441" ht="15.75" customHeight="1">
      <c r="A441" s="14" t="s">
        <v>512</v>
      </c>
      <c r="B441" s="14" t="s">
        <v>14</v>
      </c>
      <c r="C441" s="30">
        <f>SUMIF('AP Line Items'!C:C,"LYNETTE ROSCOE",'AP Line Items'!E:E)</f>
        <v>35</v>
      </c>
      <c r="D441" s="14">
        <f>COUNTIF('AP Line Items'!C:C,"LYNETTE ROSCOE")</f>
        <v>1</v>
      </c>
      <c r="E441" s="31">
        <f t="shared" si="1"/>
        <v>0.0000030072749</v>
      </c>
    </row>
    <row r="442" ht="15.75" customHeight="1">
      <c r="A442" s="14" t="s">
        <v>513</v>
      </c>
      <c r="B442" s="14" t="s">
        <v>14</v>
      </c>
      <c r="C442" s="30">
        <f>SUMIF('AP Line Items'!C:C,"TOWNSEND MICHELLE",'AP Line Items'!E:E)</f>
        <v>30.62</v>
      </c>
      <c r="D442" s="14">
        <f>COUNTIF('AP Line Items'!C:C,"TOWNSEND MICHELLE")</f>
        <v>1</v>
      </c>
      <c r="E442" s="31">
        <f t="shared" si="1"/>
        <v>0.000002630935926</v>
      </c>
    </row>
    <row r="443" ht="15.75" customHeight="1">
      <c r="A443" s="14" t="s">
        <v>514</v>
      </c>
      <c r="B443" s="14" t="s">
        <v>14</v>
      </c>
      <c r="C443" s="30">
        <f>SUMIF('AP Line Items'!C:C,"WORCESTER COUNTY ECONOMIC DEVELOPMENT",'AP Line Items'!E:E)</f>
        <v>25</v>
      </c>
      <c r="D443" s="14">
        <f>COUNTIF('AP Line Items'!C:C,"WORCESTER COUNTY ECONOMIC DEVELOPMENT")</f>
        <v>1</v>
      </c>
      <c r="E443" s="31">
        <f t="shared" si="1"/>
        <v>0.0000021480535</v>
      </c>
    </row>
    <row r="444" ht="15.75" customHeight="1">
      <c r="A444" s="14" t="s">
        <v>515</v>
      </c>
      <c r="B444" s="14" t="s">
        <v>14</v>
      </c>
      <c r="C444" s="30">
        <f>SUMIF('AP Line Items'!C:C,"KELSEY JENSEN",'AP Line Items'!E:E)</f>
        <v>20</v>
      </c>
      <c r="D444" s="14">
        <f>COUNTIF('AP Line Items'!C:C,"KELSEY JENSEN")</f>
        <v>1</v>
      </c>
      <c r="E444" s="31">
        <f t="shared" si="1"/>
        <v>0.0000017184428</v>
      </c>
    </row>
    <row r="445" ht="15.75" customHeight="1">
      <c r="A445" s="14" t="s">
        <v>516</v>
      </c>
      <c r="B445" s="14" t="s">
        <v>14</v>
      </c>
      <c r="C445" s="30">
        <f>SUMIF('AP Line Items'!C:C,"CENTRIC BUSINESS SYSTEMS",'AP Line Items'!E:E)</f>
        <v>15</v>
      </c>
      <c r="D445" s="14">
        <f>COUNTIF('AP Line Items'!C:C,"CENTRIC BUSINESS SYSTEMS")</f>
        <v>1</v>
      </c>
      <c r="E445" s="31">
        <f t="shared" si="1"/>
        <v>0.0000012888321</v>
      </c>
    </row>
    <row r="446" ht="15.75" customHeight="1">
      <c r="A446" s="14" t="s">
        <v>517</v>
      </c>
      <c r="B446" s="14" t="s">
        <v>14</v>
      </c>
      <c r="C446" s="30">
        <f>SUMIF('AP Line Items'!C:C,"RJ LOCK &amp; SECURITY",'AP Line Items'!E:E)</f>
        <v>4.75</v>
      </c>
      <c r="D446" s="14">
        <f>COUNTIF('AP Line Items'!C:C,"RJ LOCK &amp; SECURITY")</f>
        <v>1</v>
      </c>
      <c r="E446" s="31">
        <f t="shared" si="1"/>
        <v>0.0000004081301649</v>
      </c>
    </row>
    <row r="447" ht="15.75" customHeight="1">
      <c r="A447" s="21" t="s">
        <v>44</v>
      </c>
      <c r="C447" s="32">
        <f>SUM(C2:C446)</f>
        <v>11638443.83</v>
      </c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46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4.0"/>
    <col customWidth="1" min="3" max="4" width="30.0"/>
    <col customWidth="1" min="5" max="5" width="15.0"/>
    <col customWidth="1" min="6" max="6" width="52.0"/>
    <col customWidth="1" min="7" max="26" width="8.71"/>
  </cols>
  <sheetData>
    <row r="1">
      <c r="A1" s="10" t="s">
        <v>56</v>
      </c>
      <c r="B1" s="10" t="s">
        <v>518</v>
      </c>
      <c r="C1" s="10" t="s">
        <v>86</v>
      </c>
      <c r="D1" s="10" t="s">
        <v>9</v>
      </c>
      <c r="E1" s="10" t="s">
        <v>519</v>
      </c>
      <c r="F1" s="10" t="s">
        <v>520</v>
      </c>
    </row>
    <row r="2">
      <c r="A2" s="33" t="s">
        <v>61</v>
      </c>
      <c r="B2" s="33" t="s">
        <v>132</v>
      </c>
      <c r="C2" s="33" t="s">
        <v>132</v>
      </c>
      <c r="D2" s="33" t="s">
        <v>30</v>
      </c>
      <c r="E2" s="34">
        <v>880.0</v>
      </c>
      <c r="F2" s="33" t="s">
        <v>521</v>
      </c>
    </row>
    <row r="3">
      <c r="A3" s="33" t="s">
        <v>61</v>
      </c>
      <c r="B3" s="33" t="s">
        <v>330</v>
      </c>
      <c r="C3" s="33" t="s">
        <v>522</v>
      </c>
      <c r="D3" s="33" t="s">
        <v>40</v>
      </c>
      <c r="E3" s="34">
        <v>60.0</v>
      </c>
      <c r="F3" s="33" t="s">
        <v>523</v>
      </c>
    </row>
    <row r="4">
      <c r="A4" s="33" t="s">
        <v>61</v>
      </c>
      <c r="B4" s="33" t="s">
        <v>107</v>
      </c>
      <c r="C4" s="33" t="s">
        <v>524</v>
      </c>
      <c r="D4" s="33" t="s">
        <v>26</v>
      </c>
      <c r="E4" s="34">
        <v>2800.0</v>
      </c>
      <c r="F4" s="33" t="s">
        <v>525</v>
      </c>
    </row>
    <row r="5">
      <c r="A5" s="33" t="s">
        <v>61</v>
      </c>
      <c r="B5" s="33" t="s">
        <v>452</v>
      </c>
      <c r="C5" s="33" t="s">
        <v>452</v>
      </c>
      <c r="D5" s="33" t="s">
        <v>18</v>
      </c>
      <c r="E5" s="34">
        <v>43.98</v>
      </c>
      <c r="F5" s="33" t="s">
        <v>526</v>
      </c>
    </row>
    <row r="6">
      <c r="A6" s="33" t="s">
        <v>61</v>
      </c>
      <c r="B6" s="33" t="s">
        <v>138</v>
      </c>
      <c r="C6" s="33" t="s">
        <v>527</v>
      </c>
      <c r="D6" s="33" t="s">
        <v>18</v>
      </c>
      <c r="E6" s="34">
        <v>133.31</v>
      </c>
      <c r="F6" s="33" t="s">
        <v>528</v>
      </c>
    </row>
    <row r="7">
      <c r="A7" s="33" t="s">
        <v>61</v>
      </c>
      <c r="B7" s="33" t="s">
        <v>122</v>
      </c>
      <c r="C7" s="33" t="s">
        <v>529</v>
      </c>
      <c r="D7" s="33" t="s">
        <v>20</v>
      </c>
      <c r="E7" s="34">
        <v>918.0</v>
      </c>
      <c r="F7" s="33" t="s">
        <v>530</v>
      </c>
    </row>
    <row r="8">
      <c r="A8" s="33" t="s">
        <v>61</v>
      </c>
      <c r="B8" s="33" t="s">
        <v>210</v>
      </c>
      <c r="C8" s="33" t="s">
        <v>531</v>
      </c>
      <c r="D8" s="33" t="s">
        <v>22</v>
      </c>
      <c r="E8" s="34">
        <v>4884.0</v>
      </c>
      <c r="F8" s="33" t="s">
        <v>532</v>
      </c>
    </row>
    <row r="9">
      <c r="A9" s="33" t="s">
        <v>61</v>
      </c>
      <c r="B9" s="33" t="s">
        <v>110</v>
      </c>
      <c r="C9" s="33" t="s">
        <v>110</v>
      </c>
      <c r="D9" s="33" t="s">
        <v>36</v>
      </c>
      <c r="E9" s="34">
        <v>4073.73</v>
      </c>
      <c r="F9" s="33" t="s">
        <v>533</v>
      </c>
    </row>
    <row r="10">
      <c r="A10" s="33" t="s">
        <v>61</v>
      </c>
      <c r="B10" s="33" t="s">
        <v>17</v>
      </c>
      <c r="C10" s="33" t="s">
        <v>534</v>
      </c>
      <c r="D10" s="33" t="s">
        <v>18</v>
      </c>
      <c r="E10" s="34">
        <v>1802.97</v>
      </c>
      <c r="F10" s="33" t="s">
        <v>535</v>
      </c>
    </row>
    <row r="11">
      <c r="A11" s="33" t="s">
        <v>61</v>
      </c>
      <c r="B11" s="33" t="s">
        <v>90</v>
      </c>
      <c r="C11" s="33" t="s">
        <v>536</v>
      </c>
      <c r="D11" s="33" t="s">
        <v>18</v>
      </c>
      <c r="E11" s="34">
        <v>5600.0</v>
      </c>
      <c r="F11" s="33" t="s">
        <v>537</v>
      </c>
    </row>
    <row r="12">
      <c r="A12" s="33" t="s">
        <v>61</v>
      </c>
      <c r="B12" s="33" t="s">
        <v>95</v>
      </c>
      <c r="C12" s="33" t="s">
        <v>538</v>
      </c>
      <c r="D12" s="33" t="s">
        <v>14</v>
      </c>
      <c r="E12" s="34">
        <v>9846.96</v>
      </c>
      <c r="F12" s="33" t="s">
        <v>539</v>
      </c>
    </row>
    <row r="13">
      <c r="A13" s="33" t="s">
        <v>61</v>
      </c>
      <c r="B13" s="33" t="s">
        <v>113</v>
      </c>
      <c r="C13" s="33" t="s">
        <v>540</v>
      </c>
      <c r="D13" s="33" t="s">
        <v>14</v>
      </c>
      <c r="E13" s="34">
        <v>3769.32</v>
      </c>
      <c r="F13" s="33" t="s">
        <v>541</v>
      </c>
    </row>
    <row r="14">
      <c r="A14" s="33" t="s">
        <v>61</v>
      </c>
      <c r="B14" s="33" t="s">
        <v>127</v>
      </c>
      <c r="C14" s="33" t="s">
        <v>127</v>
      </c>
      <c r="D14" s="33" t="s">
        <v>36</v>
      </c>
      <c r="E14" s="34">
        <v>2531.17</v>
      </c>
      <c r="F14" s="33" t="s">
        <v>542</v>
      </c>
    </row>
    <row r="15">
      <c r="A15" s="33" t="s">
        <v>61</v>
      </c>
      <c r="B15" s="33" t="s">
        <v>142</v>
      </c>
      <c r="C15" s="33" t="s">
        <v>142</v>
      </c>
      <c r="D15" s="33" t="s">
        <v>36</v>
      </c>
      <c r="E15" s="34">
        <v>1716.16</v>
      </c>
      <c r="F15" s="33" t="s">
        <v>543</v>
      </c>
    </row>
    <row r="16">
      <c r="A16" s="33" t="s">
        <v>61</v>
      </c>
      <c r="B16" s="33" t="s">
        <v>440</v>
      </c>
      <c r="C16" s="33" t="s">
        <v>440</v>
      </c>
      <c r="D16" s="33" t="s">
        <v>14</v>
      </c>
      <c r="E16" s="34">
        <v>248.0</v>
      </c>
      <c r="F16" s="33" t="s">
        <v>544</v>
      </c>
    </row>
    <row r="17">
      <c r="A17" s="33" t="s">
        <v>61</v>
      </c>
      <c r="B17" s="33" t="s">
        <v>325</v>
      </c>
      <c r="C17" s="33" t="s">
        <v>325</v>
      </c>
      <c r="D17" s="33" t="s">
        <v>14</v>
      </c>
      <c r="E17" s="34">
        <v>1471.2</v>
      </c>
      <c r="F17" s="33" t="s">
        <v>545</v>
      </c>
    </row>
    <row r="18">
      <c r="A18" s="33" t="s">
        <v>61</v>
      </c>
      <c r="B18" s="33" t="s">
        <v>436</v>
      </c>
      <c r="C18" s="33" t="s">
        <v>436</v>
      </c>
      <c r="D18" s="33" t="s">
        <v>14</v>
      </c>
      <c r="E18" s="34">
        <v>151.0</v>
      </c>
      <c r="F18" s="33" t="s">
        <v>546</v>
      </c>
    </row>
    <row r="19">
      <c r="A19" s="33" t="s">
        <v>61</v>
      </c>
      <c r="B19" s="33" t="s">
        <v>301</v>
      </c>
      <c r="C19" s="33" t="s">
        <v>547</v>
      </c>
      <c r="D19" s="33" t="s">
        <v>14</v>
      </c>
      <c r="E19" s="34">
        <v>60.0</v>
      </c>
      <c r="F19" s="33" t="s">
        <v>548</v>
      </c>
    </row>
    <row r="20">
      <c r="A20" s="33" t="s">
        <v>61</v>
      </c>
      <c r="B20" s="33" t="s">
        <v>299</v>
      </c>
      <c r="C20" s="33" t="s">
        <v>549</v>
      </c>
      <c r="D20" s="33" t="s">
        <v>14</v>
      </c>
      <c r="E20" s="34">
        <v>2325.0</v>
      </c>
      <c r="F20" s="33" t="s">
        <v>550</v>
      </c>
    </row>
    <row r="21" ht="15.75" customHeight="1">
      <c r="A21" s="33" t="s">
        <v>61</v>
      </c>
      <c r="B21" s="33" t="s">
        <v>150</v>
      </c>
      <c r="C21" s="33" t="s">
        <v>551</v>
      </c>
      <c r="D21" s="33" t="s">
        <v>26</v>
      </c>
      <c r="E21" s="34">
        <v>2193.0</v>
      </c>
      <c r="F21" s="33" t="s">
        <v>552</v>
      </c>
    </row>
    <row r="22" ht="15.75" customHeight="1">
      <c r="A22" s="33" t="s">
        <v>61</v>
      </c>
      <c r="B22" s="33" t="s">
        <v>218</v>
      </c>
      <c r="C22" s="33" t="s">
        <v>553</v>
      </c>
      <c r="D22" s="33" t="s">
        <v>40</v>
      </c>
      <c r="E22" s="34">
        <v>223.0</v>
      </c>
      <c r="F22" s="33" t="s">
        <v>554</v>
      </c>
    </row>
    <row r="23" ht="15.75" customHeight="1">
      <c r="A23" s="33" t="s">
        <v>61</v>
      </c>
      <c r="B23" s="33" t="s">
        <v>289</v>
      </c>
      <c r="C23" s="33" t="s">
        <v>555</v>
      </c>
      <c r="D23" s="33" t="s">
        <v>14</v>
      </c>
      <c r="E23" s="34">
        <v>20.91</v>
      </c>
      <c r="F23" s="33" t="s">
        <v>556</v>
      </c>
    </row>
    <row r="24" ht="15.75" customHeight="1">
      <c r="A24" s="33" t="s">
        <v>61</v>
      </c>
      <c r="B24" s="33" t="s">
        <v>124</v>
      </c>
      <c r="C24" s="33" t="s">
        <v>557</v>
      </c>
      <c r="D24" s="33" t="s">
        <v>14</v>
      </c>
      <c r="E24" s="34">
        <v>11121.71</v>
      </c>
      <c r="F24" s="33" t="s">
        <v>558</v>
      </c>
    </row>
    <row r="25" ht="15.75" customHeight="1">
      <c r="A25" s="33" t="s">
        <v>61</v>
      </c>
      <c r="B25" s="33" t="s">
        <v>196</v>
      </c>
      <c r="C25" s="33" t="s">
        <v>196</v>
      </c>
      <c r="D25" s="33" t="s">
        <v>30</v>
      </c>
      <c r="E25" s="34">
        <v>714.59</v>
      </c>
      <c r="F25" s="33" t="s">
        <v>559</v>
      </c>
    </row>
    <row r="26" ht="15.75" customHeight="1">
      <c r="A26" s="33" t="s">
        <v>61</v>
      </c>
      <c r="B26" s="33" t="s">
        <v>158</v>
      </c>
      <c r="C26" s="33" t="s">
        <v>158</v>
      </c>
      <c r="D26" s="33" t="s">
        <v>14</v>
      </c>
      <c r="E26" s="34">
        <v>18546.64</v>
      </c>
      <c r="F26" s="33" t="s">
        <v>560</v>
      </c>
    </row>
    <row r="27" ht="15.75" customHeight="1">
      <c r="A27" s="33" t="s">
        <v>61</v>
      </c>
      <c r="B27" s="33" t="s">
        <v>35</v>
      </c>
      <c r="C27" s="33" t="s">
        <v>35</v>
      </c>
      <c r="D27" s="33" t="s">
        <v>22</v>
      </c>
      <c r="E27" s="34">
        <v>675.0</v>
      </c>
      <c r="F27" s="33" t="s">
        <v>561</v>
      </c>
    </row>
    <row r="28" ht="15.75" customHeight="1">
      <c r="A28" s="33" t="s">
        <v>61</v>
      </c>
      <c r="B28" s="33" t="s">
        <v>302</v>
      </c>
      <c r="C28" s="33" t="s">
        <v>562</v>
      </c>
      <c r="D28" s="33" t="s">
        <v>14</v>
      </c>
      <c r="E28" s="34">
        <v>1419.92</v>
      </c>
      <c r="F28" s="33" t="s">
        <v>563</v>
      </c>
    </row>
    <row r="29" ht="15.75" customHeight="1">
      <c r="A29" s="33" t="s">
        <v>61</v>
      </c>
      <c r="B29" s="33" t="s">
        <v>145</v>
      </c>
      <c r="C29" s="33" t="s">
        <v>564</v>
      </c>
      <c r="D29" s="33" t="s">
        <v>14</v>
      </c>
      <c r="E29" s="34">
        <v>560.0</v>
      </c>
      <c r="F29" s="33" t="s">
        <v>565</v>
      </c>
    </row>
    <row r="30" ht="15.75" customHeight="1">
      <c r="A30" s="33" t="s">
        <v>61</v>
      </c>
      <c r="B30" s="33" t="s">
        <v>157</v>
      </c>
      <c r="C30" s="33" t="s">
        <v>566</v>
      </c>
      <c r="D30" s="33" t="s">
        <v>14</v>
      </c>
      <c r="E30" s="34">
        <v>14283.32</v>
      </c>
      <c r="F30" s="33" t="s">
        <v>567</v>
      </c>
    </row>
    <row r="31" ht="15.75" customHeight="1">
      <c r="A31" s="33" t="s">
        <v>61</v>
      </c>
      <c r="B31" s="33" t="s">
        <v>290</v>
      </c>
      <c r="C31" s="33" t="s">
        <v>568</v>
      </c>
      <c r="D31" s="33" t="s">
        <v>14</v>
      </c>
      <c r="E31" s="34">
        <v>174.0</v>
      </c>
      <c r="F31" s="33" t="s">
        <v>569</v>
      </c>
    </row>
    <row r="32" ht="15.75" customHeight="1">
      <c r="A32" s="33" t="s">
        <v>61</v>
      </c>
      <c r="B32" s="33" t="s">
        <v>152</v>
      </c>
      <c r="C32" s="33" t="s">
        <v>152</v>
      </c>
      <c r="D32" s="33" t="s">
        <v>18</v>
      </c>
      <c r="E32" s="34">
        <v>2022.5</v>
      </c>
      <c r="F32" s="33" t="s">
        <v>570</v>
      </c>
    </row>
    <row r="33" ht="15.75" customHeight="1">
      <c r="A33" s="33" t="s">
        <v>61</v>
      </c>
      <c r="B33" s="33" t="s">
        <v>153</v>
      </c>
      <c r="C33" s="33" t="s">
        <v>153</v>
      </c>
      <c r="D33" s="33" t="s">
        <v>14</v>
      </c>
      <c r="E33" s="34">
        <v>2022.5</v>
      </c>
      <c r="F33" s="33" t="s">
        <v>570</v>
      </c>
    </row>
    <row r="34" ht="15.75" customHeight="1">
      <c r="A34" s="33" t="s">
        <v>61</v>
      </c>
      <c r="B34" s="33" t="s">
        <v>434</v>
      </c>
      <c r="C34" s="33" t="s">
        <v>434</v>
      </c>
      <c r="D34" s="33" t="s">
        <v>14</v>
      </c>
      <c r="E34" s="34">
        <v>92.0</v>
      </c>
      <c r="F34" s="33" t="s">
        <v>571</v>
      </c>
    </row>
    <row r="35" ht="15.75" customHeight="1">
      <c r="A35" s="33" t="s">
        <v>61</v>
      </c>
      <c r="B35" s="33" t="s">
        <v>207</v>
      </c>
      <c r="C35" s="33" t="s">
        <v>572</v>
      </c>
      <c r="D35" s="33" t="s">
        <v>14</v>
      </c>
      <c r="E35" s="34">
        <v>8030.52</v>
      </c>
      <c r="F35" s="33" t="s">
        <v>573</v>
      </c>
    </row>
    <row r="36" ht="15.75" customHeight="1">
      <c r="A36" s="33" t="s">
        <v>61</v>
      </c>
      <c r="B36" s="33" t="s">
        <v>89</v>
      </c>
      <c r="C36" s="33" t="s">
        <v>89</v>
      </c>
      <c r="D36" s="33" t="s">
        <v>34</v>
      </c>
      <c r="E36" s="34">
        <v>176241.62</v>
      </c>
      <c r="F36" s="33" t="s">
        <v>574</v>
      </c>
    </row>
    <row r="37" ht="15.75" customHeight="1">
      <c r="A37" s="33" t="s">
        <v>61</v>
      </c>
      <c r="B37" s="33" t="s">
        <v>99</v>
      </c>
      <c r="C37" s="33" t="s">
        <v>99</v>
      </c>
      <c r="D37" s="33" t="s">
        <v>16</v>
      </c>
      <c r="E37" s="34">
        <v>4485.0</v>
      </c>
      <c r="F37" s="33" t="s">
        <v>575</v>
      </c>
    </row>
    <row r="38" ht="15.75" customHeight="1">
      <c r="A38" s="33" t="s">
        <v>61</v>
      </c>
      <c r="B38" s="33" t="s">
        <v>465</v>
      </c>
      <c r="C38" s="33" t="s">
        <v>465</v>
      </c>
      <c r="D38" s="33" t="s">
        <v>14</v>
      </c>
      <c r="E38" s="34">
        <v>20.0</v>
      </c>
      <c r="F38" s="33" t="s">
        <v>576</v>
      </c>
    </row>
    <row r="39" ht="15.75" customHeight="1">
      <c r="A39" s="33" t="s">
        <v>61</v>
      </c>
      <c r="B39" s="33" t="s">
        <v>410</v>
      </c>
      <c r="C39" s="33" t="s">
        <v>577</v>
      </c>
      <c r="D39" s="33" t="s">
        <v>14</v>
      </c>
      <c r="E39" s="34">
        <v>35.78</v>
      </c>
      <c r="F39" s="33" t="s">
        <v>578</v>
      </c>
    </row>
    <row r="40" ht="15.75" customHeight="1">
      <c r="A40" s="33" t="s">
        <v>61</v>
      </c>
      <c r="B40" s="33" t="s">
        <v>286</v>
      </c>
      <c r="C40" s="33" t="s">
        <v>579</v>
      </c>
      <c r="D40" s="33" t="s">
        <v>14</v>
      </c>
      <c r="E40" s="34">
        <v>1302.0</v>
      </c>
      <c r="F40" s="33" t="s">
        <v>580</v>
      </c>
    </row>
    <row r="41" ht="15.75" customHeight="1">
      <c r="A41" s="33" t="s">
        <v>61</v>
      </c>
      <c r="B41" s="33" t="s">
        <v>184</v>
      </c>
      <c r="C41" s="33" t="s">
        <v>581</v>
      </c>
      <c r="D41" s="33" t="s">
        <v>30</v>
      </c>
      <c r="E41" s="34">
        <v>3781.49</v>
      </c>
      <c r="F41" s="33" t="s">
        <v>582</v>
      </c>
    </row>
    <row r="42" ht="15.75" customHeight="1">
      <c r="A42" s="33" t="s">
        <v>61</v>
      </c>
      <c r="B42" s="33" t="s">
        <v>233</v>
      </c>
      <c r="C42" s="33" t="s">
        <v>583</v>
      </c>
      <c r="D42" s="33" t="s">
        <v>14</v>
      </c>
      <c r="E42" s="34">
        <v>305.0</v>
      </c>
      <c r="F42" s="33" t="s">
        <v>584</v>
      </c>
    </row>
    <row r="43" ht="15.75" customHeight="1">
      <c r="A43" s="33" t="s">
        <v>61</v>
      </c>
      <c r="B43" s="33" t="s">
        <v>162</v>
      </c>
      <c r="C43" s="33" t="s">
        <v>585</v>
      </c>
      <c r="D43" s="33" t="s">
        <v>14</v>
      </c>
      <c r="E43" s="34">
        <v>1977.38</v>
      </c>
      <c r="F43" s="33" t="s">
        <v>586</v>
      </c>
    </row>
    <row r="44" ht="15.75" customHeight="1">
      <c r="A44" s="33" t="s">
        <v>61</v>
      </c>
      <c r="B44" s="33" t="s">
        <v>125</v>
      </c>
      <c r="C44" s="33" t="s">
        <v>587</v>
      </c>
      <c r="D44" s="33" t="s">
        <v>20</v>
      </c>
      <c r="E44" s="34">
        <v>860.0</v>
      </c>
      <c r="F44" s="33" t="s">
        <v>588</v>
      </c>
    </row>
    <row r="45" ht="15.75" customHeight="1">
      <c r="A45" s="33" t="s">
        <v>61</v>
      </c>
      <c r="B45" s="33" t="s">
        <v>103</v>
      </c>
      <c r="C45" s="33" t="s">
        <v>103</v>
      </c>
      <c r="D45" s="33" t="s">
        <v>30</v>
      </c>
      <c r="E45" s="34">
        <v>6184.8</v>
      </c>
      <c r="F45" s="33" t="s">
        <v>589</v>
      </c>
    </row>
    <row r="46" ht="15.75" customHeight="1">
      <c r="A46" s="33" t="s">
        <v>61</v>
      </c>
      <c r="B46" s="33" t="s">
        <v>284</v>
      </c>
      <c r="C46" s="33" t="s">
        <v>590</v>
      </c>
      <c r="D46" s="33" t="s">
        <v>14</v>
      </c>
      <c r="E46" s="34">
        <v>2175.0</v>
      </c>
      <c r="F46" s="33" t="s">
        <v>591</v>
      </c>
    </row>
    <row r="47" ht="15.75" customHeight="1">
      <c r="A47" s="33" t="s">
        <v>61</v>
      </c>
      <c r="B47" s="33" t="s">
        <v>229</v>
      </c>
      <c r="C47" s="33" t="s">
        <v>592</v>
      </c>
      <c r="D47" s="33" t="s">
        <v>14</v>
      </c>
      <c r="E47" s="34">
        <v>1000.0</v>
      </c>
      <c r="F47" s="33" t="s">
        <v>593</v>
      </c>
    </row>
    <row r="48" ht="15.75" customHeight="1">
      <c r="A48" s="33" t="s">
        <v>61</v>
      </c>
      <c r="B48" s="33" t="s">
        <v>298</v>
      </c>
      <c r="C48" s="33" t="s">
        <v>594</v>
      </c>
      <c r="D48" s="33" t="s">
        <v>14</v>
      </c>
      <c r="E48" s="34">
        <v>137.04</v>
      </c>
      <c r="F48" s="33" t="s">
        <v>595</v>
      </c>
    </row>
    <row r="49" ht="15.75" customHeight="1">
      <c r="A49" s="33" t="s">
        <v>61</v>
      </c>
      <c r="B49" s="33" t="s">
        <v>161</v>
      </c>
      <c r="C49" s="33" t="s">
        <v>596</v>
      </c>
      <c r="D49" s="33" t="s">
        <v>38</v>
      </c>
      <c r="E49" s="34">
        <v>699.49</v>
      </c>
      <c r="F49" s="33" t="s">
        <v>597</v>
      </c>
    </row>
    <row r="50" ht="15.75" customHeight="1">
      <c r="A50" s="33" t="s">
        <v>61</v>
      </c>
      <c r="B50" s="33" t="s">
        <v>338</v>
      </c>
      <c r="C50" s="33" t="s">
        <v>338</v>
      </c>
      <c r="D50" s="33" t="s">
        <v>16</v>
      </c>
      <c r="E50" s="34">
        <v>50.0</v>
      </c>
      <c r="F50" s="33" t="s">
        <v>598</v>
      </c>
    </row>
    <row r="51" ht="15.75" customHeight="1">
      <c r="A51" s="33" t="s">
        <v>61</v>
      </c>
      <c r="B51" s="33" t="s">
        <v>292</v>
      </c>
      <c r="C51" s="33" t="s">
        <v>292</v>
      </c>
      <c r="D51" s="33" t="s">
        <v>18</v>
      </c>
      <c r="E51" s="34">
        <v>246.48</v>
      </c>
      <c r="F51" s="33" t="s">
        <v>599</v>
      </c>
    </row>
    <row r="52" ht="15.75" customHeight="1">
      <c r="A52" s="33" t="s">
        <v>61</v>
      </c>
      <c r="B52" s="33" t="s">
        <v>328</v>
      </c>
      <c r="C52" s="33" t="s">
        <v>328</v>
      </c>
      <c r="D52" s="33" t="s">
        <v>36</v>
      </c>
      <c r="E52" s="34">
        <v>106.57</v>
      </c>
      <c r="F52" s="33" t="s">
        <v>600</v>
      </c>
    </row>
    <row r="53" ht="15.75" customHeight="1">
      <c r="A53" s="33" t="s">
        <v>61</v>
      </c>
      <c r="B53" s="33" t="s">
        <v>242</v>
      </c>
      <c r="C53" s="33" t="s">
        <v>242</v>
      </c>
      <c r="D53" s="33" t="s">
        <v>36</v>
      </c>
      <c r="E53" s="34">
        <v>648.41</v>
      </c>
      <c r="F53" s="33" t="s">
        <v>601</v>
      </c>
    </row>
    <row r="54" ht="15.75" customHeight="1">
      <c r="A54" s="33" t="s">
        <v>61</v>
      </c>
      <c r="B54" s="33" t="s">
        <v>180</v>
      </c>
      <c r="C54" s="33" t="s">
        <v>180</v>
      </c>
      <c r="D54" s="33" t="s">
        <v>36</v>
      </c>
      <c r="E54" s="34">
        <v>859.54</v>
      </c>
      <c r="F54" s="33" t="s">
        <v>602</v>
      </c>
    </row>
    <row r="55" ht="15.75" customHeight="1">
      <c r="A55" s="33" t="s">
        <v>61</v>
      </c>
      <c r="B55" s="33" t="s">
        <v>369</v>
      </c>
      <c r="C55" s="33" t="s">
        <v>369</v>
      </c>
      <c r="D55" s="33" t="s">
        <v>36</v>
      </c>
      <c r="E55" s="34">
        <v>61.02</v>
      </c>
      <c r="F55" s="33" t="s">
        <v>603</v>
      </c>
    </row>
    <row r="56" ht="15.75" customHeight="1">
      <c r="A56" s="33" t="s">
        <v>61</v>
      </c>
      <c r="B56" s="33" t="s">
        <v>243</v>
      </c>
      <c r="C56" s="33" t="s">
        <v>243</v>
      </c>
      <c r="D56" s="33" t="s">
        <v>14</v>
      </c>
      <c r="E56" s="34">
        <v>336.0</v>
      </c>
      <c r="F56" s="33" t="s">
        <v>604</v>
      </c>
    </row>
    <row r="57" ht="15.75" customHeight="1">
      <c r="A57" s="33" t="s">
        <v>61</v>
      </c>
      <c r="B57" s="33" t="s">
        <v>356</v>
      </c>
      <c r="C57" s="33" t="s">
        <v>356</v>
      </c>
      <c r="D57" s="33" t="s">
        <v>14</v>
      </c>
      <c r="E57" s="34">
        <v>347.0</v>
      </c>
      <c r="F57" s="33" t="s">
        <v>605</v>
      </c>
    </row>
    <row r="58" ht="15.75" customHeight="1">
      <c r="A58" s="33" t="s">
        <v>61</v>
      </c>
      <c r="B58" s="33" t="s">
        <v>112</v>
      </c>
      <c r="C58" s="33" t="s">
        <v>606</v>
      </c>
      <c r="D58" s="33" t="s">
        <v>14</v>
      </c>
      <c r="E58" s="34">
        <v>60000.0</v>
      </c>
      <c r="F58" s="33" t="s">
        <v>607</v>
      </c>
    </row>
    <row r="59" ht="15.75" customHeight="1">
      <c r="A59" s="33" t="s">
        <v>61</v>
      </c>
      <c r="B59" s="33" t="s">
        <v>273</v>
      </c>
      <c r="C59" s="33" t="s">
        <v>273</v>
      </c>
      <c r="D59" s="33" t="s">
        <v>14</v>
      </c>
      <c r="E59" s="34">
        <v>54.0</v>
      </c>
      <c r="F59" s="33" t="s">
        <v>608</v>
      </c>
    </row>
    <row r="60" ht="15.75" customHeight="1">
      <c r="A60" s="33" t="s">
        <v>61</v>
      </c>
      <c r="B60" s="33" t="s">
        <v>220</v>
      </c>
      <c r="C60" s="33" t="s">
        <v>220</v>
      </c>
      <c r="D60" s="33" t="s">
        <v>18</v>
      </c>
      <c r="E60" s="34">
        <v>109.23</v>
      </c>
      <c r="F60" s="33" t="s">
        <v>609</v>
      </c>
    </row>
    <row r="61" ht="15.75" customHeight="1">
      <c r="A61" s="33" t="s">
        <v>61</v>
      </c>
      <c r="B61" s="33" t="s">
        <v>183</v>
      </c>
      <c r="C61" s="33" t="s">
        <v>183</v>
      </c>
      <c r="D61" s="33" t="s">
        <v>16</v>
      </c>
      <c r="E61" s="34">
        <v>973.65</v>
      </c>
      <c r="F61" s="33" t="s">
        <v>610</v>
      </c>
    </row>
    <row r="62" ht="15.75" customHeight="1">
      <c r="A62" s="33" t="s">
        <v>61</v>
      </c>
      <c r="B62" s="33" t="s">
        <v>210</v>
      </c>
      <c r="C62" s="33" t="s">
        <v>531</v>
      </c>
      <c r="D62" s="33" t="s">
        <v>22</v>
      </c>
      <c r="E62" s="34">
        <v>555.0</v>
      </c>
      <c r="F62" s="33" t="s">
        <v>611</v>
      </c>
    </row>
    <row r="63" ht="15.75" customHeight="1">
      <c r="A63" s="33" t="s">
        <v>61</v>
      </c>
      <c r="B63" s="33" t="s">
        <v>300</v>
      </c>
      <c r="C63" s="33" t="s">
        <v>300</v>
      </c>
      <c r="D63" s="33" t="s">
        <v>14</v>
      </c>
      <c r="E63" s="34">
        <v>219.0</v>
      </c>
      <c r="F63" s="33" t="s">
        <v>612</v>
      </c>
    </row>
    <row r="64" ht="15.75" customHeight="1">
      <c r="A64" s="33" t="s">
        <v>61</v>
      </c>
      <c r="B64" s="33" t="s">
        <v>110</v>
      </c>
      <c r="C64" s="33" t="s">
        <v>110</v>
      </c>
      <c r="D64" s="33" t="s">
        <v>36</v>
      </c>
      <c r="E64" s="34">
        <v>4076.88</v>
      </c>
      <c r="F64" s="33" t="s">
        <v>613</v>
      </c>
    </row>
    <row r="65" ht="15.75" customHeight="1">
      <c r="A65" s="33" t="s">
        <v>61</v>
      </c>
      <c r="B65" s="33" t="s">
        <v>17</v>
      </c>
      <c r="C65" s="33" t="s">
        <v>534</v>
      </c>
      <c r="D65" s="33" t="s">
        <v>18</v>
      </c>
      <c r="E65" s="34">
        <v>860.53</v>
      </c>
      <c r="F65" s="33" t="s">
        <v>614</v>
      </c>
    </row>
    <row r="66" ht="15.75" customHeight="1">
      <c r="A66" s="33" t="s">
        <v>61</v>
      </c>
      <c r="B66" s="33" t="s">
        <v>102</v>
      </c>
      <c r="C66" s="33" t="s">
        <v>615</v>
      </c>
      <c r="D66" s="33" t="s">
        <v>14</v>
      </c>
      <c r="E66" s="34">
        <v>3028.53</v>
      </c>
      <c r="F66" s="33" t="s">
        <v>616</v>
      </c>
    </row>
    <row r="67" ht="15.75" customHeight="1">
      <c r="A67" s="33" t="s">
        <v>61</v>
      </c>
      <c r="B67" s="33" t="s">
        <v>19</v>
      </c>
      <c r="C67" s="33" t="s">
        <v>19</v>
      </c>
      <c r="D67" s="33" t="s">
        <v>16</v>
      </c>
      <c r="E67" s="34">
        <v>86681.22</v>
      </c>
      <c r="F67" s="33" t="s">
        <v>617</v>
      </c>
    </row>
    <row r="68" ht="15.75" customHeight="1">
      <c r="A68" s="33" t="s">
        <v>61</v>
      </c>
      <c r="B68" s="33" t="s">
        <v>357</v>
      </c>
      <c r="C68" s="33" t="s">
        <v>357</v>
      </c>
      <c r="D68" s="33" t="s">
        <v>14</v>
      </c>
      <c r="E68" s="34">
        <v>446.0</v>
      </c>
      <c r="F68" s="33" t="s">
        <v>618</v>
      </c>
    </row>
    <row r="69" ht="15.75" customHeight="1">
      <c r="A69" s="33" t="s">
        <v>61</v>
      </c>
      <c r="B69" s="33" t="s">
        <v>94</v>
      </c>
      <c r="C69" s="33" t="s">
        <v>619</v>
      </c>
      <c r="D69" s="33" t="s">
        <v>22</v>
      </c>
      <c r="E69" s="34">
        <v>14654.16</v>
      </c>
      <c r="F69" s="33" t="s">
        <v>620</v>
      </c>
    </row>
    <row r="70" ht="15.75" customHeight="1">
      <c r="A70" s="33" t="s">
        <v>61</v>
      </c>
      <c r="B70" s="33" t="s">
        <v>123</v>
      </c>
      <c r="C70" s="33" t="s">
        <v>123</v>
      </c>
      <c r="D70" s="33" t="s">
        <v>20</v>
      </c>
      <c r="E70" s="34">
        <v>23387.65</v>
      </c>
      <c r="F70" s="33" t="s">
        <v>621</v>
      </c>
    </row>
    <row r="71" ht="15.75" customHeight="1">
      <c r="A71" s="33" t="s">
        <v>61</v>
      </c>
      <c r="B71" s="33" t="s">
        <v>113</v>
      </c>
      <c r="C71" s="33" t="s">
        <v>540</v>
      </c>
      <c r="D71" s="33" t="s">
        <v>14</v>
      </c>
      <c r="E71" s="34">
        <v>1731.9</v>
      </c>
      <c r="F71" s="33" t="s">
        <v>622</v>
      </c>
    </row>
    <row r="72" ht="15.75" customHeight="1">
      <c r="A72" s="33" t="s">
        <v>61</v>
      </c>
      <c r="B72" s="33" t="s">
        <v>291</v>
      </c>
      <c r="C72" s="33" t="s">
        <v>291</v>
      </c>
      <c r="D72" s="33" t="s">
        <v>38</v>
      </c>
      <c r="E72" s="34">
        <v>109.61</v>
      </c>
      <c r="F72" s="33" t="s">
        <v>623</v>
      </c>
    </row>
    <row r="73" ht="15.75" customHeight="1">
      <c r="A73" s="33" t="s">
        <v>61</v>
      </c>
      <c r="B73" s="33" t="s">
        <v>214</v>
      </c>
      <c r="C73" s="33" t="s">
        <v>214</v>
      </c>
      <c r="D73" s="33" t="s">
        <v>14</v>
      </c>
      <c r="E73" s="34">
        <v>1875.0</v>
      </c>
      <c r="F73" s="33" t="s">
        <v>624</v>
      </c>
    </row>
    <row r="74" ht="15.75" customHeight="1">
      <c r="A74" s="33" t="s">
        <v>61</v>
      </c>
      <c r="B74" s="33" t="s">
        <v>127</v>
      </c>
      <c r="C74" s="33" t="s">
        <v>127</v>
      </c>
      <c r="D74" s="33" t="s">
        <v>36</v>
      </c>
      <c r="E74" s="34">
        <v>40.26</v>
      </c>
      <c r="F74" s="33" t="s">
        <v>625</v>
      </c>
    </row>
    <row r="75" ht="15.75" customHeight="1">
      <c r="A75" s="33" t="s">
        <v>61</v>
      </c>
      <c r="B75" s="33" t="s">
        <v>116</v>
      </c>
      <c r="C75" s="33" t="s">
        <v>116</v>
      </c>
      <c r="D75" s="33" t="s">
        <v>20</v>
      </c>
      <c r="E75" s="34">
        <v>825.24</v>
      </c>
      <c r="F75" s="33" t="s">
        <v>545</v>
      </c>
    </row>
    <row r="76" ht="15.75" customHeight="1">
      <c r="A76" s="33" t="s">
        <v>61</v>
      </c>
      <c r="B76" s="33" t="s">
        <v>100</v>
      </c>
      <c r="C76" s="33" t="s">
        <v>626</v>
      </c>
      <c r="D76" s="33" t="s">
        <v>22</v>
      </c>
      <c r="E76" s="34">
        <v>1120.0</v>
      </c>
      <c r="F76" s="33" t="s">
        <v>627</v>
      </c>
    </row>
    <row r="77" ht="15.75" customHeight="1">
      <c r="A77" s="33" t="s">
        <v>61</v>
      </c>
      <c r="B77" s="33" t="s">
        <v>351</v>
      </c>
      <c r="C77" s="33" t="s">
        <v>351</v>
      </c>
      <c r="D77" s="33" t="s">
        <v>38</v>
      </c>
      <c r="E77" s="34">
        <v>88.92</v>
      </c>
      <c r="F77" s="33" t="s">
        <v>628</v>
      </c>
    </row>
    <row r="78" ht="15.75" customHeight="1">
      <c r="A78" s="33" t="s">
        <v>61</v>
      </c>
      <c r="B78" s="33" t="s">
        <v>117</v>
      </c>
      <c r="C78" s="33" t="s">
        <v>117</v>
      </c>
      <c r="D78" s="33" t="s">
        <v>14</v>
      </c>
      <c r="E78" s="34">
        <v>8985.53</v>
      </c>
      <c r="F78" s="33" t="s">
        <v>629</v>
      </c>
    </row>
    <row r="79" ht="15.75" customHeight="1">
      <c r="A79" s="33" t="s">
        <v>61</v>
      </c>
      <c r="B79" s="33" t="s">
        <v>485</v>
      </c>
      <c r="C79" s="33" t="s">
        <v>485</v>
      </c>
      <c r="D79" s="33" t="s">
        <v>14</v>
      </c>
      <c r="E79" s="34">
        <v>44.56</v>
      </c>
      <c r="F79" s="33" t="s">
        <v>630</v>
      </c>
    </row>
    <row r="80" ht="15.75" customHeight="1">
      <c r="A80" s="33" t="s">
        <v>61</v>
      </c>
      <c r="B80" s="33" t="s">
        <v>145</v>
      </c>
      <c r="C80" s="33" t="s">
        <v>564</v>
      </c>
      <c r="D80" s="33" t="s">
        <v>14</v>
      </c>
      <c r="E80" s="34">
        <v>1120.0</v>
      </c>
      <c r="F80" s="33" t="s">
        <v>631</v>
      </c>
    </row>
    <row r="81" ht="15.75" customHeight="1">
      <c r="A81" s="33" t="s">
        <v>61</v>
      </c>
      <c r="B81" s="33" t="s">
        <v>136</v>
      </c>
      <c r="C81" s="33" t="s">
        <v>136</v>
      </c>
      <c r="D81" s="33" t="s">
        <v>14</v>
      </c>
      <c r="E81" s="34">
        <v>2474.89</v>
      </c>
      <c r="F81" s="33" t="s">
        <v>632</v>
      </c>
    </row>
    <row r="82" ht="15.75" customHeight="1">
      <c r="A82" s="33" t="s">
        <v>61</v>
      </c>
      <c r="B82" s="33" t="s">
        <v>279</v>
      </c>
      <c r="C82" s="33" t="s">
        <v>279</v>
      </c>
      <c r="D82" s="33" t="s">
        <v>18</v>
      </c>
      <c r="E82" s="34">
        <v>951.42</v>
      </c>
      <c r="F82" s="33" t="s">
        <v>633</v>
      </c>
    </row>
    <row r="83" ht="15.75" customHeight="1">
      <c r="A83" s="33" t="s">
        <v>61</v>
      </c>
      <c r="B83" s="33" t="s">
        <v>446</v>
      </c>
      <c r="C83" s="33" t="s">
        <v>446</v>
      </c>
      <c r="D83" s="33" t="s">
        <v>14</v>
      </c>
      <c r="E83" s="34">
        <v>15.95</v>
      </c>
      <c r="F83" s="33" t="s">
        <v>634</v>
      </c>
    </row>
    <row r="84" ht="15.75" customHeight="1">
      <c r="A84" s="33" t="s">
        <v>61</v>
      </c>
      <c r="B84" s="33" t="s">
        <v>396</v>
      </c>
      <c r="C84" s="33" t="s">
        <v>396</v>
      </c>
      <c r="D84" s="33" t="s">
        <v>14</v>
      </c>
      <c r="E84" s="34">
        <v>101.0</v>
      </c>
      <c r="F84" s="33" t="s">
        <v>635</v>
      </c>
    </row>
    <row r="85" ht="15.75" customHeight="1">
      <c r="A85" s="33" t="s">
        <v>61</v>
      </c>
      <c r="B85" s="33" t="s">
        <v>186</v>
      </c>
      <c r="C85" s="33" t="s">
        <v>186</v>
      </c>
      <c r="D85" s="33" t="s">
        <v>18</v>
      </c>
      <c r="E85" s="34">
        <v>1341.53</v>
      </c>
      <c r="F85" s="33" t="s">
        <v>636</v>
      </c>
    </row>
    <row r="86" ht="15.75" customHeight="1">
      <c r="A86" s="33" t="s">
        <v>61</v>
      </c>
      <c r="B86" s="33" t="s">
        <v>99</v>
      </c>
      <c r="C86" s="33" t="s">
        <v>99</v>
      </c>
      <c r="D86" s="33" t="s">
        <v>16</v>
      </c>
      <c r="E86" s="34">
        <v>4520.0</v>
      </c>
      <c r="F86" s="33" t="s">
        <v>637</v>
      </c>
    </row>
    <row r="87" ht="15.75" customHeight="1">
      <c r="A87" s="33" t="s">
        <v>61</v>
      </c>
      <c r="B87" s="33" t="s">
        <v>294</v>
      </c>
      <c r="C87" s="33" t="s">
        <v>638</v>
      </c>
      <c r="D87" s="33" t="s">
        <v>14</v>
      </c>
      <c r="E87" s="34">
        <v>357.21</v>
      </c>
      <c r="F87" s="33" t="s">
        <v>639</v>
      </c>
    </row>
    <row r="88" ht="15.75" customHeight="1">
      <c r="A88" s="33" t="s">
        <v>61</v>
      </c>
      <c r="B88" s="33" t="s">
        <v>384</v>
      </c>
      <c r="C88" s="33" t="s">
        <v>640</v>
      </c>
      <c r="D88" s="33" t="s">
        <v>14</v>
      </c>
      <c r="E88" s="34">
        <v>73.0</v>
      </c>
      <c r="F88" s="33" t="s">
        <v>641</v>
      </c>
    </row>
    <row r="89" ht="15.75" customHeight="1">
      <c r="A89" s="33" t="s">
        <v>61</v>
      </c>
      <c r="B89" s="33" t="s">
        <v>400</v>
      </c>
      <c r="C89" s="33" t="s">
        <v>400</v>
      </c>
      <c r="D89" s="33" t="s">
        <v>14</v>
      </c>
      <c r="E89" s="34">
        <v>298.46</v>
      </c>
      <c r="F89" s="33" t="s">
        <v>642</v>
      </c>
    </row>
    <row r="90" ht="15.75" customHeight="1">
      <c r="A90" s="33" t="s">
        <v>61</v>
      </c>
      <c r="B90" s="33" t="s">
        <v>251</v>
      </c>
      <c r="C90" s="33" t="s">
        <v>251</v>
      </c>
      <c r="D90" s="33" t="s">
        <v>14</v>
      </c>
      <c r="E90" s="34">
        <v>4436.82</v>
      </c>
      <c r="F90" s="33" t="s">
        <v>643</v>
      </c>
    </row>
    <row r="91" ht="15.75" customHeight="1">
      <c r="A91" s="33" t="s">
        <v>61</v>
      </c>
      <c r="B91" s="33" t="s">
        <v>144</v>
      </c>
      <c r="C91" s="33" t="s">
        <v>144</v>
      </c>
      <c r="D91" s="33" t="s">
        <v>18</v>
      </c>
      <c r="E91" s="34">
        <v>2817.22</v>
      </c>
      <c r="F91" s="33" t="s">
        <v>644</v>
      </c>
    </row>
    <row r="92" ht="15.75" customHeight="1">
      <c r="A92" s="33" t="s">
        <v>61</v>
      </c>
      <c r="B92" s="33" t="s">
        <v>437</v>
      </c>
      <c r="C92" s="33" t="s">
        <v>437</v>
      </c>
      <c r="D92" s="33" t="s">
        <v>14</v>
      </c>
      <c r="E92" s="34">
        <v>136.58</v>
      </c>
      <c r="F92" s="33" t="s">
        <v>645</v>
      </c>
    </row>
    <row r="93" ht="15.75" customHeight="1">
      <c r="A93" s="33" t="s">
        <v>61</v>
      </c>
      <c r="B93" s="33" t="s">
        <v>189</v>
      </c>
      <c r="C93" s="33" t="s">
        <v>189</v>
      </c>
      <c r="D93" s="33" t="s">
        <v>14</v>
      </c>
      <c r="E93" s="34">
        <v>1560.0</v>
      </c>
      <c r="F93" s="33" t="s">
        <v>646</v>
      </c>
    </row>
    <row r="94" ht="15.75" customHeight="1">
      <c r="A94" s="33" t="s">
        <v>61</v>
      </c>
      <c r="B94" s="33" t="s">
        <v>125</v>
      </c>
      <c r="C94" s="33" t="s">
        <v>587</v>
      </c>
      <c r="D94" s="33" t="s">
        <v>20</v>
      </c>
      <c r="E94" s="34">
        <v>4038.7</v>
      </c>
      <c r="F94" s="33" t="s">
        <v>647</v>
      </c>
    </row>
    <row r="95" ht="15.75" customHeight="1">
      <c r="A95" s="33" t="s">
        <v>61</v>
      </c>
      <c r="B95" s="33" t="s">
        <v>390</v>
      </c>
      <c r="C95" s="33" t="s">
        <v>390</v>
      </c>
      <c r="D95" s="33" t="s">
        <v>14</v>
      </c>
      <c r="E95" s="34">
        <v>119.0</v>
      </c>
      <c r="F95" s="33" t="s">
        <v>648</v>
      </c>
    </row>
    <row r="96" ht="15.75" customHeight="1">
      <c r="A96" s="33" t="s">
        <v>61</v>
      </c>
      <c r="B96" s="33" t="s">
        <v>29</v>
      </c>
      <c r="C96" s="33" t="s">
        <v>29</v>
      </c>
      <c r="D96" s="33" t="s">
        <v>28</v>
      </c>
      <c r="E96" s="34">
        <v>27621.82</v>
      </c>
      <c r="F96" s="33" t="s">
        <v>649</v>
      </c>
    </row>
    <row r="97" ht="15.75" customHeight="1">
      <c r="A97" s="33" t="s">
        <v>61</v>
      </c>
      <c r="B97" s="33" t="s">
        <v>97</v>
      </c>
      <c r="C97" s="33" t="s">
        <v>650</v>
      </c>
      <c r="D97" s="33" t="s">
        <v>30</v>
      </c>
      <c r="E97" s="34">
        <v>17.0</v>
      </c>
      <c r="F97" s="33" t="s">
        <v>651</v>
      </c>
    </row>
    <row r="98" ht="15.75" customHeight="1">
      <c r="A98" s="33" t="s">
        <v>61</v>
      </c>
      <c r="B98" s="33" t="s">
        <v>161</v>
      </c>
      <c r="C98" s="33" t="s">
        <v>596</v>
      </c>
      <c r="D98" s="33" t="s">
        <v>38</v>
      </c>
      <c r="E98" s="34">
        <v>1239.05</v>
      </c>
      <c r="F98" s="33" t="s">
        <v>652</v>
      </c>
    </row>
    <row r="99" ht="15.75" customHeight="1">
      <c r="A99" s="33" t="s">
        <v>61</v>
      </c>
      <c r="B99" s="33" t="s">
        <v>338</v>
      </c>
      <c r="C99" s="33" t="s">
        <v>338</v>
      </c>
      <c r="D99" s="33" t="s">
        <v>16</v>
      </c>
      <c r="E99" s="34">
        <v>50.0</v>
      </c>
      <c r="F99" s="33" t="s">
        <v>653</v>
      </c>
    </row>
    <row r="100" ht="15.75" customHeight="1">
      <c r="A100" s="33" t="s">
        <v>61</v>
      </c>
      <c r="B100" s="33" t="s">
        <v>246</v>
      </c>
      <c r="C100" s="33" t="s">
        <v>246</v>
      </c>
      <c r="D100" s="33" t="s">
        <v>42</v>
      </c>
      <c r="E100" s="34">
        <v>140.0</v>
      </c>
      <c r="F100" s="33" t="s">
        <v>654</v>
      </c>
    </row>
    <row r="101" ht="15.75" customHeight="1">
      <c r="A101" s="33" t="s">
        <v>61</v>
      </c>
      <c r="B101" s="33" t="s">
        <v>91</v>
      </c>
      <c r="C101" s="33" t="s">
        <v>91</v>
      </c>
      <c r="D101" s="33" t="s">
        <v>32</v>
      </c>
      <c r="E101" s="34">
        <v>12103.2</v>
      </c>
      <c r="F101" s="33" t="s">
        <v>655</v>
      </c>
    </row>
    <row r="102" ht="15.75" customHeight="1">
      <c r="A102" s="33" t="s">
        <v>61</v>
      </c>
      <c r="B102" s="33" t="s">
        <v>119</v>
      </c>
      <c r="C102" s="33" t="s">
        <v>119</v>
      </c>
      <c r="D102" s="33" t="s">
        <v>14</v>
      </c>
      <c r="E102" s="34">
        <v>3874.3</v>
      </c>
      <c r="F102" s="33" t="s">
        <v>656</v>
      </c>
    </row>
    <row r="103" ht="15.75" customHeight="1">
      <c r="A103" s="33" t="s">
        <v>62</v>
      </c>
      <c r="B103" s="33" t="s">
        <v>130</v>
      </c>
      <c r="C103" s="33" t="s">
        <v>657</v>
      </c>
      <c r="D103" s="33" t="s">
        <v>14</v>
      </c>
      <c r="E103" s="34">
        <v>6850.0</v>
      </c>
      <c r="F103" s="33" t="s">
        <v>658</v>
      </c>
    </row>
    <row r="104" ht="15.75" customHeight="1">
      <c r="A104" s="33" t="s">
        <v>62</v>
      </c>
      <c r="B104" s="33" t="s">
        <v>441</v>
      </c>
      <c r="C104" s="33" t="s">
        <v>441</v>
      </c>
      <c r="D104" s="33" t="s">
        <v>14</v>
      </c>
      <c r="E104" s="34">
        <v>240.0</v>
      </c>
      <c r="F104" s="33" t="s">
        <v>659</v>
      </c>
    </row>
    <row r="105" ht="15.75" customHeight="1">
      <c r="A105" s="33" t="s">
        <v>62</v>
      </c>
      <c r="B105" s="33" t="s">
        <v>39</v>
      </c>
      <c r="C105" s="33" t="s">
        <v>39</v>
      </c>
      <c r="D105" s="33" t="s">
        <v>16</v>
      </c>
      <c r="E105" s="34">
        <v>586.16</v>
      </c>
      <c r="F105" s="33" t="s">
        <v>660</v>
      </c>
    </row>
    <row r="106" ht="15.75" customHeight="1">
      <c r="A106" s="33" t="s">
        <v>62</v>
      </c>
      <c r="B106" s="33" t="s">
        <v>39</v>
      </c>
      <c r="C106" s="33" t="s">
        <v>39</v>
      </c>
      <c r="D106" s="33" t="s">
        <v>16</v>
      </c>
      <c r="E106" s="34">
        <v>2389.58</v>
      </c>
      <c r="F106" s="33" t="s">
        <v>661</v>
      </c>
    </row>
    <row r="107" ht="15.75" customHeight="1">
      <c r="A107" s="33" t="s">
        <v>62</v>
      </c>
      <c r="B107" s="33" t="s">
        <v>434</v>
      </c>
      <c r="C107" s="33" t="s">
        <v>434</v>
      </c>
      <c r="D107" s="33" t="s">
        <v>14</v>
      </c>
      <c r="E107" s="34">
        <v>200.0</v>
      </c>
      <c r="F107" s="33" t="s">
        <v>662</v>
      </c>
    </row>
    <row r="108" ht="15.75" customHeight="1">
      <c r="A108" s="33" t="s">
        <v>62</v>
      </c>
      <c r="B108" s="33" t="s">
        <v>396</v>
      </c>
      <c r="C108" s="33" t="s">
        <v>396</v>
      </c>
      <c r="D108" s="33" t="s">
        <v>14</v>
      </c>
      <c r="E108" s="34">
        <v>200.0</v>
      </c>
      <c r="F108" s="33" t="s">
        <v>663</v>
      </c>
    </row>
    <row r="109" ht="15.75" customHeight="1">
      <c r="A109" s="33" t="s">
        <v>62</v>
      </c>
      <c r="B109" s="33" t="s">
        <v>132</v>
      </c>
      <c r="C109" s="33" t="s">
        <v>132</v>
      </c>
      <c r="D109" s="33" t="s">
        <v>30</v>
      </c>
      <c r="E109" s="34">
        <v>880.0</v>
      </c>
      <c r="F109" s="33" t="s">
        <v>521</v>
      </c>
    </row>
    <row r="110" ht="15.75" customHeight="1">
      <c r="A110" s="33" t="s">
        <v>62</v>
      </c>
      <c r="B110" s="33" t="s">
        <v>222</v>
      </c>
      <c r="C110" s="33" t="s">
        <v>664</v>
      </c>
      <c r="D110" s="33" t="s">
        <v>38</v>
      </c>
      <c r="E110" s="34">
        <v>314.92</v>
      </c>
      <c r="F110" s="33" t="s">
        <v>665</v>
      </c>
    </row>
    <row r="111" ht="15.75" customHeight="1">
      <c r="A111" s="33" t="s">
        <v>62</v>
      </c>
      <c r="B111" s="33" t="s">
        <v>220</v>
      </c>
      <c r="C111" s="33" t="s">
        <v>220</v>
      </c>
      <c r="D111" s="33" t="s">
        <v>18</v>
      </c>
      <c r="E111" s="34">
        <v>214.23</v>
      </c>
      <c r="F111" s="33" t="s">
        <v>666</v>
      </c>
    </row>
    <row r="112" ht="15.75" customHeight="1">
      <c r="A112" s="33" t="s">
        <v>62</v>
      </c>
      <c r="B112" s="33" t="s">
        <v>122</v>
      </c>
      <c r="C112" s="33" t="s">
        <v>529</v>
      </c>
      <c r="D112" s="33" t="s">
        <v>20</v>
      </c>
      <c r="E112" s="34">
        <v>2041.75</v>
      </c>
      <c r="F112" s="33" t="s">
        <v>667</v>
      </c>
    </row>
    <row r="113" ht="15.75" customHeight="1">
      <c r="A113" s="33" t="s">
        <v>62</v>
      </c>
      <c r="B113" s="33" t="s">
        <v>199</v>
      </c>
      <c r="C113" s="33" t="s">
        <v>668</v>
      </c>
      <c r="D113" s="33" t="s">
        <v>14</v>
      </c>
      <c r="E113" s="34">
        <v>2442.5</v>
      </c>
      <c r="F113" s="33" t="s">
        <v>669</v>
      </c>
    </row>
    <row r="114" ht="15.75" customHeight="1">
      <c r="A114" s="33" t="s">
        <v>62</v>
      </c>
      <c r="B114" s="33" t="s">
        <v>37</v>
      </c>
      <c r="C114" s="33" t="s">
        <v>37</v>
      </c>
      <c r="D114" s="33" t="s">
        <v>16</v>
      </c>
      <c r="E114" s="34">
        <v>268434.0</v>
      </c>
      <c r="F114" s="33" t="s">
        <v>670</v>
      </c>
    </row>
    <row r="115" ht="15.75" customHeight="1">
      <c r="A115" s="33" t="s">
        <v>62</v>
      </c>
      <c r="B115" s="33" t="s">
        <v>267</v>
      </c>
      <c r="C115" s="33" t="s">
        <v>671</v>
      </c>
      <c r="D115" s="33" t="s">
        <v>14</v>
      </c>
      <c r="E115" s="34">
        <v>2870.13</v>
      </c>
      <c r="F115" s="33" t="s">
        <v>672</v>
      </c>
    </row>
    <row r="116" ht="15.75" customHeight="1">
      <c r="A116" s="33" t="s">
        <v>62</v>
      </c>
      <c r="B116" s="33" t="s">
        <v>272</v>
      </c>
      <c r="C116" s="33" t="s">
        <v>272</v>
      </c>
      <c r="D116" s="33" t="s">
        <v>14</v>
      </c>
      <c r="E116" s="34">
        <v>568.55</v>
      </c>
      <c r="F116" s="33" t="s">
        <v>673</v>
      </c>
    </row>
    <row r="117" ht="15.75" customHeight="1">
      <c r="A117" s="33" t="s">
        <v>62</v>
      </c>
      <c r="B117" s="33" t="s">
        <v>291</v>
      </c>
      <c r="C117" s="33" t="s">
        <v>291</v>
      </c>
      <c r="D117" s="33" t="s">
        <v>38</v>
      </c>
      <c r="E117" s="34">
        <v>106.78</v>
      </c>
      <c r="F117" s="33" t="s">
        <v>623</v>
      </c>
    </row>
    <row r="118" ht="15.75" customHeight="1">
      <c r="A118" s="33" t="s">
        <v>62</v>
      </c>
      <c r="B118" s="33" t="s">
        <v>127</v>
      </c>
      <c r="C118" s="33" t="s">
        <v>127</v>
      </c>
      <c r="D118" s="33" t="s">
        <v>36</v>
      </c>
      <c r="E118" s="34">
        <v>2246.63</v>
      </c>
      <c r="F118" s="33" t="s">
        <v>674</v>
      </c>
    </row>
    <row r="119" ht="15.75" customHeight="1">
      <c r="A119" s="33" t="s">
        <v>62</v>
      </c>
      <c r="B119" s="33" t="s">
        <v>142</v>
      </c>
      <c r="C119" s="33" t="s">
        <v>142</v>
      </c>
      <c r="D119" s="33" t="s">
        <v>36</v>
      </c>
      <c r="E119" s="34">
        <v>1763.06</v>
      </c>
      <c r="F119" s="33" t="s">
        <v>543</v>
      </c>
    </row>
    <row r="120" ht="15.75" customHeight="1">
      <c r="A120" s="33" t="s">
        <v>62</v>
      </c>
      <c r="B120" s="33" t="s">
        <v>288</v>
      </c>
      <c r="C120" s="33" t="s">
        <v>675</v>
      </c>
      <c r="D120" s="33" t="s">
        <v>14</v>
      </c>
      <c r="E120" s="34">
        <v>1030.66</v>
      </c>
      <c r="F120" s="33" t="s">
        <v>676</v>
      </c>
    </row>
    <row r="121" ht="15.75" customHeight="1">
      <c r="A121" s="33" t="s">
        <v>62</v>
      </c>
      <c r="B121" s="33" t="s">
        <v>150</v>
      </c>
      <c r="C121" s="33" t="s">
        <v>551</v>
      </c>
      <c r="D121" s="33" t="s">
        <v>26</v>
      </c>
      <c r="E121" s="34">
        <v>416.0</v>
      </c>
      <c r="F121" s="33" t="s">
        <v>677</v>
      </c>
    </row>
    <row r="122" ht="15.75" customHeight="1">
      <c r="A122" s="33" t="s">
        <v>62</v>
      </c>
      <c r="B122" s="33" t="s">
        <v>277</v>
      </c>
      <c r="C122" s="33" t="s">
        <v>277</v>
      </c>
      <c r="D122" s="33" t="s">
        <v>14</v>
      </c>
      <c r="E122" s="34">
        <v>394.13</v>
      </c>
      <c r="F122" s="33" t="s">
        <v>678</v>
      </c>
    </row>
    <row r="123" ht="15.75" customHeight="1">
      <c r="A123" s="33" t="s">
        <v>62</v>
      </c>
      <c r="B123" s="33" t="s">
        <v>218</v>
      </c>
      <c r="C123" s="33" t="s">
        <v>553</v>
      </c>
      <c r="D123" s="33" t="s">
        <v>40</v>
      </c>
      <c r="E123" s="34">
        <v>237.0</v>
      </c>
      <c r="F123" s="33" t="s">
        <v>679</v>
      </c>
    </row>
    <row r="124" ht="15.75" customHeight="1">
      <c r="A124" s="33" t="s">
        <v>62</v>
      </c>
      <c r="B124" s="33" t="s">
        <v>259</v>
      </c>
      <c r="C124" s="33" t="s">
        <v>680</v>
      </c>
      <c r="D124" s="33" t="s">
        <v>14</v>
      </c>
      <c r="E124" s="34">
        <v>900.0</v>
      </c>
      <c r="F124" s="33" t="s">
        <v>681</v>
      </c>
    </row>
    <row r="125" ht="15.75" customHeight="1">
      <c r="A125" s="33" t="s">
        <v>62</v>
      </c>
      <c r="B125" s="33" t="s">
        <v>392</v>
      </c>
      <c r="C125" s="33" t="s">
        <v>682</v>
      </c>
      <c r="D125" s="33" t="s">
        <v>14</v>
      </c>
      <c r="E125" s="34">
        <v>600.0</v>
      </c>
      <c r="F125" s="33" t="s">
        <v>683</v>
      </c>
    </row>
    <row r="126" ht="15.75" customHeight="1">
      <c r="A126" s="33" t="s">
        <v>62</v>
      </c>
      <c r="B126" s="33" t="s">
        <v>124</v>
      </c>
      <c r="C126" s="33" t="s">
        <v>557</v>
      </c>
      <c r="D126" s="33" t="s">
        <v>14</v>
      </c>
      <c r="E126" s="34">
        <v>7026.3</v>
      </c>
      <c r="F126" s="33" t="s">
        <v>684</v>
      </c>
    </row>
    <row r="127" ht="15.75" customHeight="1">
      <c r="A127" s="33" t="s">
        <v>62</v>
      </c>
      <c r="B127" s="33" t="s">
        <v>88</v>
      </c>
      <c r="C127" s="33" t="s">
        <v>685</v>
      </c>
      <c r="D127" s="33" t="s">
        <v>18</v>
      </c>
      <c r="E127" s="34">
        <v>1186.27</v>
      </c>
      <c r="F127" s="33" t="s">
        <v>686</v>
      </c>
    </row>
    <row r="128" ht="15.75" customHeight="1">
      <c r="A128" s="33" t="s">
        <v>62</v>
      </c>
      <c r="B128" s="33" t="s">
        <v>196</v>
      </c>
      <c r="C128" s="33" t="s">
        <v>196</v>
      </c>
      <c r="D128" s="33" t="s">
        <v>30</v>
      </c>
      <c r="E128" s="34">
        <v>367.9</v>
      </c>
      <c r="F128" s="33" t="s">
        <v>687</v>
      </c>
    </row>
    <row r="129" ht="15.75" customHeight="1">
      <c r="A129" s="33" t="s">
        <v>62</v>
      </c>
      <c r="B129" s="33" t="s">
        <v>35</v>
      </c>
      <c r="C129" s="33" t="s">
        <v>35</v>
      </c>
      <c r="D129" s="33" t="s">
        <v>22</v>
      </c>
      <c r="E129" s="34">
        <v>2360.0</v>
      </c>
      <c r="F129" s="33" t="s">
        <v>688</v>
      </c>
    </row>
    <row r="130" ht="15.75" customHeight="1">
      <c r="A130" s="33" t="s">
        <v>62</v>
      </c>
      <c r="B130" s="33" t="s">
        <v>171</v>
      </c>
      <c r="C130" s="33" t="s">
        <v>171</v>
      </c>
      <c r="D130" s="33" t="s">
        <v>14</v>
      </c>
      <c r="E130" s="34">
        <v>5265.0</v>
      </c>
      <c r="F130" s="33" t="s">
        <v>689</v>
      </c>
    </row>
    <row r="131" ht="15.75" customHeight="1">
      <c r="A131" s="33" t="s">
        <v>62</v>
      </c>
      <c r="B131" s="33" t="s">
        <v>136</v>
      </c>
      <c r="C131" s="33" t="s">
        <v>136</v>
      </c>
      <c r="D131" s="33" t="s">
        <v>14</v>
      </c>
      <c r="E131" s="34">
        <v>118.26</v>
      </c>
      <c r="F131" s="33" t="s">
        <v>690</v>
      </c>
    </row>
    <row r="132" ht="15.75" customHeight="1">
      <c r="A132" s="33" t="s">
        <v>62</v>
      </c>
      <c r="B132" s="33" t="s">
        <v>157</v>
      </c>
      <c r="C132" s="33" t="s">
        <v>566</v>
      </c>
      <c r="D132" s="33" t="s">
        <v>14</v>
      </c>
      <c r="E132" s="34">
        <v>4573.8</v>
      </c>
      <c r="F132" s="33" t="s">
        <v>691</v>
      </c>
    </row>
    <row r="133" ht="15.75" customHeight="1">
      <c r="A133" s="33" t="s">
        <v>62</v>
      </c>
      <c r="B133" s="33" t="s">
        <v>290</v>
      </c>
      <c r="C133" s="33" t="s">
        <v>568</v>
      </c>
      <c r="D133" s="33" t="s">
        <v>14</v>
      </c>
      <c r="E133" s="34">
        <v>255.0</v>
      </c>
      <c r="F133" s="33" t="s">
        <v>692</v>
      </c>
    </row>
    <row r="134" ht="15.75" customHeight="1">
      <c r="A134" s="33" t="s">
        <v>62</v>
      </c>
      <c r="B134" s="33" t="s">
        <v>339</v>
      </c>
      <c r="C134" s="33" t="s">
        <v>693</v>
      </c>
      <c r="D134" s="33" t="s">
        <v>14</v>
      </c>
      <c r="E134" s="34">
        <v>1225.41</v>
      </c>
      <c r="F134" s="33" t="s">
        <v>694</v>
      </c>
    </row>
    <row r="135" ht="15.75" customHeight="1">
      <c r="A135" s="33" t="s">
        <v>62</v>
      </c>
      <c r="B135" s="33" t="s">
        <v>314</v>
      </c>
      <c r="C135" s="33" t="s">
        <v>314</v>
      </c>
      <c r="D135" s="33" t="s">
        <v>14</v>
      </c>
      <c r="E135" s="34">
        <v>100.0</v>
      </c>
      <c r="F135" s="33" t="s">
        <v>695</v>
      </c>
    </row>
    <row r="136" ht="15.75" customHeight="1">
      <c r="A136" s="33" t="s">
        <v>62</v>
      </c>
      <c r="B136" s="33" t="s">
        <v>403</v>
      </c>
      <c r="C136" s="33" t="s">
        <v>696</v>
      </c>
      <c r="D136" s="33" t="s">
        <v>14</v>
      </c>
      <c r="E136" s="34">
        <v>500.0</v>
      </c>
      <c r="F136" s="33" t="s">
        <v>697</v>
      </c>
    </row>
    <row r="137" ht="15.75" customHeight="1">
      <c r="A137" s="33" t="s">
        <v>62</v>
      </c>
      <c r="B137" s="33" t="s">
        <v>455</v>
      </c>
      <c r="C137" s="33" t="s">
        <v>698</v>
      </c>
      <c r="D137" s="33" t="s">
        <v>14</v>
      </c>
      <c r="E137" s="34">
        <v>57.19</v>
      </c>
      <c r="F137" s="33" t="s">
        <v>699</v>
      </c>
    </row>
    <row r="138" ht="15.75" customHeight="1">
      <c r="A138" s="33" t="s">
        <v>62</v>
      </c>
      <c r="B138" s="33" t="s">
        <v>201</v>
      </c>
      <c r="C138" s="33" t="s">
        <v>201</v>
      </c>
      <c r="D138" s="33" t="s">
        <v>14</v>
      </c>
      <c r="E138" s="34">
        <v>4500.0</v>
      </c>
      <c r="F138" s="33" t="s">
        <v>700</v>
      </c>
    </row>
    <row r="139" ht="15.75" customHeight="1">
      <c r="A139" s="33" t="s">
        <v>62</v>
      </c>
      <c r="B139" s="33" t="s">
        <v>191</v>
      </c>
      <c r="C139" s="33" t="s">
        <v>191</v>
      </c>
      <c r="D139" s="33" t="s">
        <v>14</v>
      </c>
      <c r="E139" s="34">
        <v>358.0</v>
      </c>
      <c r="F139" s="33" t="s">
        <v>701</v>
      </c>
    </row>
    <row r="140" ht="15.75" customHeight="1">
      <c r="A140" s="33" t="s">
        <v>62</v>
      </c>
      <c r="B140" s="33" t="s">
        <v>211</v>
      </c>
      <c r="C140" s="33" t="s">
        <v>211</v>
      </c>
      <c r="D140" s="33" t="s">
        <v>24</v>
      </c>
      <c r="E140" s="34">
        <v>520.0</v>
      </c>
      <c r="F140" s="33" t="s">
        <v>702</v>
      </c>
    </row>
    <row r="141" ht="15.75" customHeight="1">
      <c r="A141" s="33" t="s">
        <v>62</v>
      </c>
      <c r="B141" s="33" t="s">
        <v>186</v>
      </c>
      <c r="C141" s="33" t="s">
        <v>186</v>
      </c>
      <c r="D141" s="33" t="s">
        <v>18</v>
      </c>
      <c r="E141" s="34">
        <v>56.78</v>
      </c>
      <c r="F141" s="33" t="s">
        <v>703</v>
      </c>
    </row>
    <row r="142" ht="15.75" customHeight="1">
      <c r="A142" s="33" t="s">
        <v>62</v>
      </c>
      <c r="B142" s="33" t="s">
        <v>99</v>
      </c>
      <c r="C142" s="33" t="s">
        <v>99</v>
      </c>
      <c r="D142" s="33" t="s">
        <v>16</v>
      </c>
      <c r="E142" s="34">
        <v>4870.0</v>
      </c>
      <c r="F142" s="33" t="s">
        <v>704</v>
      </c>
    </row>
    <row r="143" ht="15.75" customHeight="1">
      <c r="A143" s="33" t="s">
        <v>62</v>
      </c>
      <c r="B143" s="33" t="s">
        <v>198</v>
      </c>
      <c r="C143" s="33" t="s">
        <v>705</v>
      </c>
      <c r="D143" s="33" t="s">
        <v>14</v>
      </c>
      <c r="E143" s="34">
        <v>9785.0</v>
      </c>
      <c r="F143" s="33" t="s">
        <v>706</v>
      </c>
    </row>
    <row r="144" ht="15.75" customHeight="1">
      <c r="A144" s="33" t="s">
        <v>62</v>
      </c>
      <c r="B144" s="33" t="s">
        <v>379</v>
      </c>
      <c r="C144" s="33" t="s">
        <v>379</v>
      </c>
      <c r="D144" s="33" t="s">
        <v>14</v>
      </c>
      <c r="E144" s="34">
        <v>702.0</v>
      </c>
      <c r="F144" s="33" t="s">
        <v>707</v>
      </c>
    </row>
    <row r="145" ht="15.75" customHeight="1">
      <c r="A145" s="33" t="s">
        <v>62</v>
      </c>
      <c r="B145" s="33" t="s">
        <v>144</v>
      </c>
      <c r="C145" s="33" t="s">
        <v>144</v>
      </c>
      <c r="D145" s="33" t="s">
        <v>18</v>
      </c>
      <c r="E145" s="34">
        <v>379.12</v>
      </c>
      <c r="F145" s="33" t="s">
        <v>708</v>
      </c>
    </row>
    <row r="146" ht="15.75" customHeight="1">
      <c r="A146" s="33" t="s">
        <v>62</v>
      </c>
      <c r="B146" s="33" t="s">
        <v>189</v>
      </c>
      <c r="C146" s="33" t="s">
        <v>189</v>
      </c>
      <c r="D146" s="33" t="s">
        <v>14</v>
      </c>
      <c r="E146" s="34">
        <v>2610.0</v>
      </c>
      <c r="F146" s="33" t="s">
        <v>646</v>
      </c>
    </row>
    <row r="147" ht="15.75" customHeight="1">
      <c r="A147" s="33" t="s">
        <v>62</v>
      </c>
      <c r="B147" s="33" t="s">
        <v>197</v>
      </c>
      <c r="C147" s="33" t="s">
        <v>197</v>
      </c>
      <c r="D147" s="33" t="s">
        <v>14</v>
      </c>
      <c r="E147" s="34">
        <v>775.61</v>
      </c>
      <c r="F147" s="33" t="s">
        <v>709</v>
      </c>
    </row>
    <row r="148" ht="15.75" customHeight="1">
      <c r="A148" s="33" t="s">
        <v>62</v>
      </c>
      <c r="B148" s="33" t="s">
        <v>233</v>
      </c>
      <c r="C148" s="33" t="s">
        <v>583</v>
      </c>
      <c r="D148" s="33" t="s">
        <v>14</v>
      </c>
      <c r="E148" s="34">
        <v>216.97</v>
      </c>
      <c r="F148" s="33" t="s">
        <v>710</v>
      </c>
    </row>
    <row r="149" ht="15.75" customHeight="1">
      <c r="A149" s="33" t="s">
        <v>62</v>
      </c>
      <c r="B149" s="33" t="s">
        <v>190</v>
      </c>
      <c r="C149" s="33" t="s">
        <v>190</v>
      </c>
      <c r="D149" s="33" t="s">
        <v>40</v>
      </c>
      <c r="E149" s="34">
        <v>657.66</v>
      </c>
      <c r="F149" s="33" t="s">
        <v>711</v>
      </c>
    </row>
    <row r="150" ht="15.75" customHeight="1">
      <c r="A150" s="33" t="s">
        <v>62</v>
      </c>
      <c r="B150" s="33" t="s">
        <v>125</v>
      </c>
      <c r="C150" s="33" t="s">
        <v>587</v>
      </c>
      <c r="D150" s="33" t="s">
        <v>20</v>
      </c>
      <c r="E150" s="34">
        <v>155.0</v>
      </c>
      <c r="F150" s="33" t="s">
        <v>712</v>
      </c>
    </row>
    <row r="151" ht="15.75" customHeight="1">
      <c r="A151" s="33" t="s">
        <v>62</v>
      </c>
      <c r="B151" s="33" t="s">
        <v>130</v>
      </c>
      <c r="C151" s="33" t="s">
        <v>657</v>
      </c>
      <c r="D151" s="33" t="s">
        <v>14</v>
      </c>
      <c r="E151" s="34">
        <v>12000.0</v>
      </c>
      <c r="F151" s="33" t="s">
        <v>713</v>
      </c>
    </row>
    <row r="152" ht="15.75" customHeight="1">
      <c r="A152" s="33" t="s">
        <v>62</v>
      </c>
      <c r="B152" s="33" t="s">
        <v>103</v>
      </c>
      <c r="C152" s="33" t="s">
        <v>103</v>
      </c>
      <c r="D152" s="33" t="s">
        <v>30</v>
      </c>
      <c r="E152" s="34">
        <v>4871.0</v>
      </c>
      <c r="F152" s="33" t="s">
        <v>714</v>
      </c>
    </row>
    <row r="153" ht="15.75" customHeight="1">
      <c r="A153" s="33" t="s">
        <v>62</v>
      </c>
      <c r="B153" s="33" t="s">
        <v>298</v>
      </c>
      <c r="C153" s="33" t="s">
        <v>594</v>
      </c>
      <c r="D153" s="33" t="s">
        <v>14</v>
      </c>
      <c r="E153" s="34">
        <v>137.04</v>
      </c>
      <c r="F153" s="33" t="s">
        <v>595</v>
      </c>
    </row>
    <row r="154" ht="15.75" customHeight="1">
      <c r="A154" s="33" t="s">
        <v>62</v>
      </c>
      <c r="B154" s="33" t="s">
        <v>161</v>
      </c>
      <c r="C154" s="33" t="s">
        <v>596</v>
      </c>
      <c r="D154" s="33" t="s">
        <v>38</v>
      </c>
      <c r="E154" s="34">
        <v>197.48</v>
      </c>
      <c r="F154" s="33" t="s">
        <v>715</v>
      </c>
    </row>
    <row r="155" ht="15.75" customHeight="1">
      <c r="A155" s="33" t="s">
        <v>62</v>
      </c>
      <c r="B155" s="33" t="s">
        <v>179</v>
      </c>
      <c r="C155" s="33" t="s">
        <v>716</v>
      </c>
      <c r="D155" s="33" t="s">
        <v>14</v>
      </c>
      <c r="E155" s="34">
        <v>901.7</v>
      </c>
      <c r="F155" s="33" t="s">
        <v>717</v>
      </c>
    </row>
    <row r="156" ht="15.75" customHeight="1">
      <c r="A156" s="33" t="s">
        <v>62</v>
      </c>
      <c r="B156" s="33" t="s">
        <v>164</v>
      </c>
      <c r="C156" s="33" t="s">
        <v>164</v>
      </c>
      <c r="D156" s="33" t="s">
        <v>14</v>
      </c>
      <c r="E156" s="34">
        <v>5000.0</v>
      </c>
      <c r="F156" s="33" t="s">
        <v>718</v>
      </c>
    </row>
    <row r="157" ht="15.75" customHeight="1">
      <c r="A157" s="33" t="s">
        <v>62</v>
      </c>
      <c r="B157" s="33" t="s">
        <v>115</v>
      </c>
      <c r="C157" s="33" t="s">
        <v>115</v>
      </c>
      <c r="D157" s="33" t="s">
        <v>20</v>
      </c>
      <c r="E157" s="34">
        <v>34415.0</v>
      </c>
      <c r="F157" s="33" t="s">
        <v>719</v>
      </c>
    </row>
    <row r="158" ht="15.75" customHeight="1">
      <c r="A158" s="33" t="s">
        <v>62</v>
      </c>
      <c r="B158" s="33" t="s">
        <v>338</v>
      </c>
      <c r="C158" s="33" t="s">
        <v>338</v>
      </c>
      <c r="D158" s="33" t="s">
        <v>16</v>
      </c>
      <c r="E158" s="34">
        <v>50.0</v>
      </c>
      <c r="F158" s="33" t="s">
        <v>720</v>
      </c>
    </row>
    <row r="159" ht="15.75" customHeight="1">
      <c r="A159" s="33" t="s">
        <v>62</v>
      </c>
      <c r="B159" s="33" t="s">
        <v>253</v>
      </c>
      <c r="C159" s="33" t="s">
        <v>253</v>
      </c>
      <c r="D159" s="33" t="s">
        <v>14</v>
      </c>
      <c r="E159" s="34">
        <v>2282.0</v>
      </c>
      <c r="F159" s="33" t="s">
        <v>721</v>
      </c>
    </row>
    <row r="160" ht="15.75" customHeight="1">
      <c r="A160" s="33" t="s">
        <v>62</v>
      </c>
      <c r="B160" s="33" t="s">
        <v>292</v>
      </c>
      <c r="C160" s="33" t="s">
        <v>292</v>
      </c>
      <c r="D160" s="33" t="s">
        <v>18</v>
      </c>
      <c r="E160" s="34">
        <v>224.07</v>
      </c>
      <c r="F160" s="33" t="s">
        <v>599</v>
      </c>
    </row>
    <row r="161" ht="15.75" customHeight="1">
      <c r="A161" s="33" t="s">
        <v>62</v>
      </c>
      <c r="B161" s="33" t="s">
        <v>163</v>
      </c>
      <c r="C161" s="33" t="s">
        <v>163</v>
      </c>
      <c r="D161" s="33" t="s">
        <v>14</v>
      </c>
      <c r="E161" s="34">
        <v>654.12</v>
      </c>
      <c r="F161" s="33" t="s">
        <v>722</v>
      </c>
    </row>
    <row r="162" ht="15.75" customHeight="1">
      <c r="A162" s="33" t="s">
        <v>62</v>
      </c>
      <c r="B162" s="33" t="s">
        <v>328</v>
      </c>
      <c r="C162" s="33" t="s">
        <v>328</v>
      </c>
      <c r="D162" s="33" t="s">
        <v>36</v>
      </c>
      <c r="E162" s="34">
        <v>106.86</v>
      </c>
      <c r="F162" s="33" t="s">
        <v>600</v>
      </c>
    </row>
    <row r="163" ht="15.75" customHeight="1">
      <c r="A163" s="33" t="s">
        <v>62</v>
      </c>
      <c r="B163" s="33" t="s">
        <v>242</v>
      </c>
      <c r="C163" s="33" t="s">
        <v>242</v>
      </c>
      <c r="D163" s="33" t="s">
        <v>36</v>
      </c>
      <c r="E163" s="34">
        <v>647.95</v>
      </c>
      <c r="F163" s="33" t="s">
        <v>601</v>
      </c>
    </row>
    <row r="164" ht="15.75" customHeight="1">
      <c r="A164" s="33" t="s">
        <v>62</v>
      </c>
      <c r="B164" s="33" t="s">
        <v>180</v>
      </c>
      <c r="C164" s="33" t="s">
        <v>180</v>
      </c>
      <c r="D164" s="33" t="s">
        <v>36</v>
      </c>
      <c r="E164" s="34">
        <v>862.1</v>
      </c>
      <c r="F164" s="33" t="s">
        <v>723</v>
      </c>
    </row>
    <row r="165" ht="15.75" customHeight="1">
      <c r="A165" s="33" t="s">
        <v>62</v>
      </c>
      <c r="B165" s="33" t="s">
        <v>369</v>
      </c>
      <c r="C165" s="33" t="s">
        <v>369</v>
      </c>
      <c r="D165" s="33" t="s">
        <v>36</v>
      </c>
      <c r="E165" s="34">
        <v>61.11</v>
      </c>
      <c r="F165" s="33" t="s">
        <v>724</v>
      </c>
    </row>
    <row r="166" ht="15.75" customHeight="1">
      <c r="A166" s="33" t="s">
        <v>62</v>
      </c>
      <c r="B166" s="33" t="s">
        <v>382</v>
      </c>
      <c r="C166" s="33" t="s">
        <v>382</v>
      </c>
      <c r="D166" s="33" t="s">
        <v>36</v>
      </c>
      <c r="E166" s="34">
        <v>51.49</v>
      </c>
      <c r="F166" s="33" t="s">
        <v>725</v>
      </c>
    </row>
    <row r="167" ht="15.75" customHeight="1">
      <c r="A167" s="33" t="s">
        <v>62</v>
      </c>
      <c r="B167" s="33" t="s">
        <v>243</v>
      </c>
      <c r="C167" s="33" t="s">
        <v>243</v>
      </c>
      <c r="D167" s="33" t="s">
        <v>14</v>
      </c>
      <c r="E167" s="34">
        <v>336.0</v>
      </c>
      <c r="F167" s="33" t="s">
        <v>726</v>
      </c>
    </row>
    <row r="168" ht="15.75" customHeight="1">
      <c r="A168" s="33" t="s">
        <v>62</v>
      </c>
      <c r="B168" s="33" t="s">
        <v>170</v>
      </c>
      <c r="C168" s="33" t="s">
        <v>170</v>
      </c>
      <c r="D168" s="33" t="s">
        <v>14</v>
      </c>
      <c r="E168" s="34">
        <v>6324.0</v>
      </c>
      <c r="F168" s="33" t="s">
        <v>727</v>
      </c>
    </row>
    <row r="169" ht="15.75" customHeight="1">
      <c r="A169" s="33" t="s">
        <v>62</v>
      </c>
      <c r="B169" s="33" t="s">
        <v>246</v>
      </c>
      <c r="C169" s="33" t="s">
        <v>246</v>
      </c>
      <c r="D169" s="33" t="s">
        <v>42</v>
      </c>
      <c r="E169" s="34">
        <v>390.0</v>
      </c>
      <c r="F169" s="33" t="s">
        <v>728</v>
      </c>
    </row>
    <row r="170" ht="15.75" customHeight="1">
      <c r="A170" s="33" t="s">
        <v>62</v>
      </c>
      <c r="B170" s="33" t="s">
        <v>273</v>
      </c>
      <c r="C170" s="33" t="s">
        <v>273</v>
      </c>
      <c r="D170" s="33" t="s">
        <v>14</v>
      </c>
      <c r="E170" s="34">
        <v>80.0</v>
      </c>
      <c r="F170" s="33" t="s">
        <v>608</v>
      </c>
    </row>
    <row r="171" ht="15.75" customHeight="1">
      <c r="A171" s="33" t="s">
        <v>62</v>
      </c>
      <c r="B171" s="33" t="s">
        <v>258</v>
      </c>
      <c r="C171" s="33" t="s">
        <v>258</v>
      </c>
      <c r="D171" s="33" t="s">
        <v>14</v>
      </c>
      <c r="E171" s="34">
        <v>2100.0</v>
      </c>
      <c r="F171" s="33" t="s">
        <v>729</v>
      </c>
    </row>
    <row r="172" ht="15.75" customHeight="1">
      <c r="A172" s="33" t="s">
        <v>62</v>
      </c>
      <c r="B172" s="33" t="s">
        <v>122</v>
      </c>
      <c r="C172" s="33" t="s">
        <v>529</v>
      </c>
      <c r="D172" s="33" t="s">
        <v>20</v>
      </c>
      <c r="E172" s="34">
        <v>7094.74</v>
      </c>
      <c r="F172" s="33" t="s">
        <v>730</v>
      </c>
    </row>
    <row r="173" ht="15.75" customHeight="1">
      <c r="A173" s="33" t="s">
        <v>62</v>
      </c>
      <c r="B173" s="33" t="s">
        <v>236</v>
      </c>
      <c r="C173" s="33" t="s">
        <v>236</v>
      </c>
      <c r="D173" s="33" t="s">
        <v>14</v>
      </c>
      <c r="E173" s="34">
        <v>1014.21</v>
      </c>
      <c r="F173" s="33" t="s">
        <v>731</v>
      </c>
    </row>
    <row r="174" ht="15.75" customHeight="1">
      <c r="A174" s="33" t="s">
        <v>62</v>
      </c>
      <c r="B174" s="33" t="s">
        <v>139</v>
      </c>
      <c r="C174" s="33" t="s">
        <v>732</v>
      </c>
      <c r="D174" s="33" t="s">
        <v>14</v>
      </c>
      <c r="E174" s="34">
        <v>537.42</v>
      </c>
      <c r="F174" s="33" t="s">
        <v>733</v>
      </c>
    </row>
    <row r="175" ht="15.75" customHeight="1">
      <c r="A175" s="33" t="s">
        <v>62</v>
      </c>
      <c r="B175" s="33" t="s">
        <v>137</v>
      </c>
      <c r="C175" s="33" t="s">
        <v>137</v>
      </c>
      <c r="D175" s="33" t="s">
        <v>18</v>
      </c>
      <c r="E175" s="34">
        <v>693.71</v>
      </c>
      <c r="F175" s="33" t="s">
        <v>734</v>
      </c>
    </row>
    <row r="176" ht="15.75" customHeight="1">
      <c r="A176" s="33" t="s">
        <v>62</v>
      </c>
      <c r="B176" s="33" t="s">
        <v>123</v>
      </c>
      <c r="C176" s="33" t="s">
        <v>123</v>
      </c>
      <c r="D176" s="33" t="s">
        <v>20</v>
      </c>
      <c r="E176" s="34">
        <v>483.66</v>
      </c>
      <c r="F176" s="33" t="s">
        <v>735</v>
      </c>
    </row>
    <row r="177" ht="15.75" customHeight="1">
      <c r="A177" s="33" t="s">
        <v>62</v>
      </c>
      <c r="B177" s="33" t="s">
        <v>95</v>
      </c>
      <c r="C177" s="33" t="s">
        <v>538</v>
      </c>
      <c r="D177" s="33" t="s">
        <v>14</v>
      </c>
      <c r="E177" s="34">
        <v>11637.92</v>
      </c>
      <c r="F177" s="33" t="s">
        <v>539</v>
      </c>
    </row>
    <row r="178" ht="15.75" customHeight="1">
      <c r="A178" s="33" t="s">
        <v>62</v>
      </c>
      <c r="B178" s="33" t="s">
        <v>113</v>
      </c>
      <c r="C178" s="33" t="s">
        <v>540</v>
      </c>
      <c r="D178" s="33" t="s">
        <v>14</v>
      </c>
      <c r="E178" s="34">
        <v>1287.07</v>
      </c>
      <c r="F178" s="33" t="s">
        <v>622</v>
      </c>
    </row>
    <row r="179" ht="15.75" customHeight="1">
      <c r="A179" s="33" t="s">
        <v>62</v>
      </c>
      <c r="B179" s="33" t="s">
        <v>366</v>
      </c>
      <c r="C179" s="33" t="s">
        <v>366</v>
      </c>
      <c r="D179" s="33" t="s">
        <v>38</v>
      </c>
      <c r="E179" s="34">
        <v>105.0</v>
      </c>
      <c r="F179" s="33" t="s">
        <v>736</v>
      </c>
    </row>
    <row r="180" ht="15.75" customHeight="1">
      <c r="A180" s="33" t="s">
        <v>62</v>
      </c>
      <c r="B180" s="33" t="s">
        <v>127</v>
      </c>
      <c r="C180" s="33" t="s">
        <v>127</v>
      </c>
      <c r="D180" s="33" t="s">
        <v>36</v>
      </c>
      <c r="E180" s="34">
        <v>116.85</v>
      </c>
      <c r="F180" s="33" t="s">
        <v>737</v>
      </c>
    </row>
    <row r="181" ht="15.75" customHeight="1">
      <c r="A181" s="33" t="s">
        <v>62</v>
      </c>
      <c r="B181" s="33" t="s">
        <v>351</v>
      </c>
      <c r="C181" s="33" t="s">
        <v>351</v>
      </c>
      <c r="D181" s="33" t="s">
        <v>38</v>
      </c>
      <c r="E181" s="34">
        <v>22.59</v>
      </c>
      <c r="F181" s="33" t="s">
        <v>738</v>
      </c>
    </row>
    <row r="182" ht="15.75" customHeight="1">
      <c r="A182" s="33" t="s">
        <v>62</v>
      </c>
      <c r="B182" s="33" t="s">
        <v>188</v>
      </c>
      <c r="C182" s="33" t="s">
        <v>739</v>
      </c>
      <c r="D182" s="33" t="s">
        <v>14</v>
      </c>
      <c r="E182" s="34">
        <v>2250.0</v>
      </c>
      <c r="F182" s="33" t="s">
        <v>740</v>
      </c>
    </row>
    <row r="183" ht="15.75" customHeight="1">
      <c r="A183" s="33" t="s">
        <v>62</v>
      </c>
      <c r="B183" s="33" t="s">
        <v>218</v>
      </c>
      <c r="C183" s="33" t="s">
        <v>553</v>
      </c>
      <c r="D183" s="33" t="s">
        <v>40</v>
      </c>
      <c r="E183" s="34">
        <v>22.5</v>
      </c>
      <c r="F183" s="33" t="s">
        <v>741</v>
      </c>
    </row>
    <row r="184" ht="15.75" customHeight="1">
      <c r="A184" s="33" t="s">
        <v>62</v>
      </c>
      <c r="B184" s="33" t="s">
        <v>196</v>
      </c>
      <c r="C184" s="33" t="s">
        <v>196</v>
      </c>
      <c r="D184" s="33" t="s">
        <v>30</v>
      </c>
      <c r="E184" s="34">
        <v>75.6</v>
      </c>
      <c r="F184" s="33" t="s">
        <v>742</v>
      </c>
    </row>
    <row r="185" ht="15.75" customHeight="1">
      <c r="A185" s="33" t="s">
        <v>62</v>
      </c>
      <c r="B185" s="33" t="s">
        <v>35</v>
      </c>
      <c r="C185" s="33" t="s">
        <v>35</v>
      </c>
      <c r="D185" s="33" t="s">
        <v>22</v>
      </c>
      <c r="E185" s="34">
        <v>458.0</v>
      </c>
      <c r="F185" s="33" t="s">
        <v>561</v>
      </c>
    </row>
    <row r="186" ht="15.75" customHeight="1">
      <c r="A186" s="33" t="s">
        <v>62</v>
      </c>
      <c r="B186" s="33" t="s">
        <v>302</v>
      </c>
      <c r="C186" s="33" t="s">
        <v>562</v>
      </c>
      <c r="D186" s="33" t="s">
        <v>14</v>
      </c>
      <c r="E186" s="34">
        <v>653.17</v>
      </c>
      <c r="F186" s="33" t="s">
        <v>563</v>
      </c>
    </row>
    <row r="187" ht="15.75" customHeight="1">
      <c r="A187" s="33" t="s">
        <v>62</v>
      </c>
      <c r="B187" s="33" t="s">
        <v>145</v>
      </c>
      <c r="C187" s="33" t="s">
        <v>564</v>
      </c>
      <c r="D187" s="33" t="s">
        <v>14</v>
      </c>
      <c r="E187" s="34">
        <v>709.75</v>
      </c>
      <c r="F187" s="33" t="s">
        <v>743</v>
      </c>
    </row>
    <row r="188" ht="15.75" customHeight="1">
      <c r="A188" s="33" t="s">
        <v>62</v>
      </c>
      <c r="B188" s="33" t="s">
        <v>416</v>
      </c>
      <c r="C188" s="33" t="s">
        <v>416</v>
      </c>
      <c r="D188" s="33" t="s">
        <v>24</v>
      </c>
      <c r="E188" s="34">
        <v>440.0</v>
      </c>
      <c r="F188" s="33" t="s">
        <v>744</v>
      </c>
    </row>
    <row r="189" ht="15.75" customHeight="1">
      <c r="A189" s="33" t="s">
        <v>62</v>
      </c>
      <c r="B189" s="33" t="s">
        <v>152</v>
      </c>
      <c r="C189" s="33" t="s">
        <v>152</v>
      </c>
      <c r="D189" s="33" t="s">
        <v>18</v>
      </c>
      <c r="E189" s="34">
        <v>2022.5</v>
      </c>
      <c r="F189" s="33" t="s">
        <v>745</v>
      </c>
    </row>
    <row r="190" ht="15.75" customHeight="1">
      <c r="A190" s="33" t="s">
        <v>62</v>
      </c>
      <c r="B190" s="33" t="s">
        <v>153</v>
      </c>
      <c r="C190" s="33" t="s">
        <v>153</v>
      </c>
      <c r="D190" s="33" t="s">
        <v>14</v>
      </c>
      <c r="E190" s="34">
        <v>2022.5</v>
      </c>
      <c r="F190" s="33" t="s">
        <v>745</v>
      </c>
    </row>
    <row r="191" ht="15.75" customHeight="1">
      <c r="A191" s="33" t="s">
        <v>62</v>
      </c>
      <c r="B191" s="33" t="s">
        <v>398</v>
      </c>
      <c r="C191" s="33" t="s">
        <v>398</v>
      </c>
      <c r="D191" s="33" t="s">
        <v>14</v>
      </c>
      <c r="E191" s="34">
        <v>285.0</v>
      </c>
      <c r="F191" s="33" t="s">
        <v>746</v>
      </c>
    </row>
    <row r="192" ht="15.75" customHeight="1">
      <c r="A192" s="33" t="s">
        <v>62</v>
      </c>
      <c r="B192" s="33" t="s">
        <v>186</v>
      </c>
      <c r="C192" s="33" t="s">
        <v>186</v>
      </c>
      <c r="D192" s="33" t="s">
        <v>18</v>
      </c>
      <c r="E192" s="34">
        <v>158.36</v>
      </c>
      <c r="F192" s="33" t="s">
        <v>747</v>
      </c>
    </row>
    <row r="193" ht="15.75" customHeight="1">
      <c r="A193" s="33" t="s">
        <v>62</v>
      </c>
      <c r="B193" s="33" t="s">
        <v>465</v>
      </c>
      <c r="C193" s="33" t="s">
        <v>465</v>
      </c>
      <c r="D193" s="33" t="s">
        <v>14</v>
      </c>
      <c r="E193" s="34">
        <v>20.0</v>
      </c>
      <c r="F193" s="33" t="s">
        <v>748</v>
      </c>
    </row>
    <row r="194" ht="15.75" customHeight="1">
      <c r="A194" s="33" t="s">
        <v>62</v>
      </c>
      <c r="B194" s="33" t="s">
        <v>15</v>
      </c>
      <c r="C194" s="33" t="s">
        <v>15</v>
      </c>
      <c r="D194" s="33" t="s">
        <v>20</v>
      </c>
      <c r="E194" s="34">
        <v>7104.48</v>
      </c>
      <c r="F194" s="33" t="s">
        <v>749</v>
      </c>
    </row>
    <row r="195" ht="15.75" customHeight="1">
      <c r="A195" s="33" t="s">
        <v>62</v>
      </c>
      <c r="B195" s="33" t="s">
        <v>410</v>
      </c>
      <c r="C195" s="33" t="s">
        <v>577</v>
      </c>
      <c r="D195" s="33" t="s">
        <v>14</v>
      </c>
      <c r="E195" s="34">
        <v>31.38</v>
      </c>
      <c r="F195" s="33" t="s">
        <v>750</v>
      </c>
    </row>
    <row r="196" ht="15.75" customHeight="1">
      <c r="A196" s="33" t="s">
        <v>62</v>
      </c>
      <c r="B196" s="33" t="s">
        <v>384</v>
      </c>
      <c r="C196" s="33" t="s">
        <v>640</v>
      </c>
      <c r="D196" s="33" t="s">
        <v>14</v>
      </c>
      <c r="E196" s="34">
        <v>62.0</v>
      </c>
      <c r="F196" s="33" t="s">
        <v>641</v>
      </c>
    </row>
    <row r="197" ht="15.75" customHeight="1">
      <c r="A197" s="33" t="s">
        <v>62</v>
      </c>
      <c r="B197" s="33" t="s">
        <v>148</v>
      </c>
      <c r="C197" s="33" t="s">
        <v>751</v>
      </c>
      <c r="D197" s="33" t="s">
        <v>14</v>
      </c>
      <c r="E197" s="34">
        <v>1916.07</v>
      </c>
      <c r="F197" s="33" t="s">
        <v>752</v>
      </c>
    </row>
    <row r="198" ht="15.75" customHeight="1">
      <c r="A198" s="33" t="s">
        <v>62</v>
      </c>
      <c r="B198" s="33" t="s">
        <v>254</v>
      </c>
      <c r="C198" s="33" t="s">
        <v>254</v>
      </c>
      <c r="D198" s="33" t="s">
        <v>14</v>
      </c>
      <c r="E198" s="34">
        <v>987.51</v>
      </c>
      <c r="F198" s="33" t="s">
        <v>753</v>
      </c>
    </row>
    <row r="199" ht="15.75" customHeight="1">
      <c r="A199" s="33" t="s">
        <v>62</v>
      </c>
      <c r="B199" s="33" t="s">
        <v>144</v>
      </c>
      <c r="C199" s="33" t="s">
        <v>144</v>
      </c>
      <c r="D199" s="33" t="s">
        <v>18</v>
      </c>
      <c r="E199" s="34">
        <v>272.66</v>
      </c>
      <c r="F199" s="33" t="s">
        <v>644</v>
      </c>
    </row>
    <row r="200" ht="15.75" customHeight="1">
      <c r="A200" s="33" t="s">
        <v>62</v>
      </c>
      <c r="B200" s="33" t="s">
        <v>234</v>
      </c>
      <c r="C200" s="33" t="s">
        <v>234</v>
      </c>
      <c r="D200" s="33" t="s">
        <v>14</v>
      </c>
      <c r="E200" s="34">
        <v>736.46</v>
      </c>
      <c r="F200" s="33" t="s">
        <v>754</v>
      </c>
    </row>
    <row r="201" ht="15.75" customHeight="1">
      <c r="A201" s="33" t="s">
        <v>62</v>
      </c>
      <c r="B201" s="33" t="s">
        <v>125</v>
      </c>
      <c r="C201" s="33" t="s">
        <v>587</v>
      </c>
      <c r="D201" s="33" t="s">
        <v>20</v>
      </c>
      <c r="E201" s="34">
        <v>920.0</v>
      </c>
      <c r="F201" s="33" t="s">
        <v>755</v>
      </c>
    </row>
    <row r="202" ht="15.75" customHeight="1">
      <c r="A202" s="33" t="s">
        <v>62</v>
      </c>
      <c r="B202" s="33" t="s">
        <v>103</v>
      </c>
      <c r="C202" s="33" t="s">
        <v>103</v>
      </c>
      <c r="D202" s="33" t="s">
        <v>30</v>
      </c>
      <c r="E202" s="34">
        <v>1474.8</v>
      </c>
      <c r="F202" s="33" t="s">
        <v>756</v>
      </c>
    </row>
    <row r="203" ht="15.75" customHeight="1">
      <c r="A203" s="33" t="s">
        <v>62</v>
      </c>
      <c r="B203" s="33" t="s">
        <v>257</v>
      </c>
      <c r="C203" s="33" t="s">
        <v>257</v>
      </c>
      <c r="D203" s="33" t="s">
        <v>14</v>
      </c>
      <c r="E203" s="34">
        <v>2665.47</v>
      </c>
      <c r="F203" s="33" t="s">
        <v>757</v>
      </c>
    </row>
    <row r="204" ht="15.75" customHeight="1">
      <c r="A204" s="33" t="s">
        <v>62</v>
      </c>
      <c r="B204" s="33" t="s">
        <v>163</v>
      </c>
      <c r="C204" s="33" t="s">
        <v>163</v>
      </c>
      <c r="D204" s="33" t="s">
        <v>14</v>
      </c>
      <c r="E204" s="34">
        <v>291.34</v>
      </c>
      <c r="F204" s="33" t="s">
        <v>758</v>
      </c>
    </row>
    <row r="205" ht="15.75" customHeight="1">
      <c r="A205" s="33" t="s">
        <v>62</v>
      </c>
      <c r="B205" s="33" t="s">
        <v>205</v>
      </c>
      <c r="C205" s="33" t="s">
        <v>205</v>
      </c>
      <c r="D205" s="33" t="s">
        <v>14</v>
      </c>
      <c r="E205" s="34">
        <v>2200.0</v>
      </c>
      <c r="F205" s="33" t="s">
        <v>707</v>
      </c>
    </row>
    <row r="206" ht="15.75" customHeight="1">
      <c r="A206" s="33" t="s">
        <v>65</v>
      </c>
      <c r="B206" s="33" t="s">
        <v>330</v>
      </c>
      <c r="C206" s="33" t="s">
        <v>522</v>
      </c>
      <c r="D206" s="33" t="s">
        <v>40</v>
      </c>
      <c r="E206" s="34">
        <v>606.0</v>
      </c>
      <c r="F206" s="33" t="s">
        <v>759</v>
      </c>
    </row>
    <row r="207" ht="15.75" customHeight="1">
      <c r="A207" s="33" t="s">
        <v>65</v>
      </c>
      <c r="B207" s="33" t="s">
        <v>182</v>
      </c>
      <c r="C207" s="33" t="s">
        <v>760</v>
      </c>
      <c r="D207" s="33" t="s">
        <v>14</v>
      </c>
      <c r="E207" s="34">
        <v>795.0</v>
      </c>
      <c r="F207" s="33" t="s">
        <v>761</v>
      </c>
    </row>
    <row r="208" ht="15.75" customHeight="1">
      <c r="A208" s="33" t="s">
        <v>65</v>
      </c>
      <c r="B208" s="33" t="s">
        <v>236</v>
      </c>
      <c r="C208" s="33" t="s">
        <v>236</v>
      </c>
      <c r="D208" s="33" t="s">
        <v>14</v>
      </c>
      <c r="E208" s="34">
        <v>23.48</v>
      </c>
      <c r="F208" s="33" t="s">
        <v>762</v>
      </c>
    </row>
    <row r="209" ht="15.75" customHeight="1">
      <c r="A209" s="33" t="s">
        <v>65</v>
      </c>
      <c r="B209" s="33" t="s">
        <v>94</v>
      </c>
      <c r="C209" s="33" t="s">
        <v>619</v>
      </c>
      <c r="D209" s="33" t="s">
        <v>22</v>
      </c>
      <c r="E209" s="34">
        <v>11106.87</v>
      </c>
      <c r="F209" s="33" t="s">
        <v>763</v>
      </c>
    </row>
    <row r="210" ht="15.75" customHeight="1">
      <c r="A210" s="33" t="s">
        <v>65</v>
      </c>
      <c r="B210" s="33" t="s">
        <v>192</v>
      </c>
      <c r="C210" s="33" t="s">
        <v>192</v>
      </c>
      <c r="D210" s="33" t="s">
        <v>14</v>
      </c>
      <c r="E210" s="34">
        <v>909.32</v>
      </c>
      <c r="F210" s="33" t="s">
        <v>764</v>
      </c>
    </row>
    <row r="211" ht="15.75" customHeight="1">
      <c r="A211" s="33" t="s">
        <v>65</v>
      </c>
      <c r="B211" s="33" t="s">
        <v>365</v>
      </c>
      <c r="C211" s="33" t="s">
        <v>765</v>
      </c>
      <c r="D211" s="33" t="s">
        <v>36</v>
      </c>
      <c r="E211" s="34">
        <v>380.0</v>
      </c>
      <c r="F211" s="33" t="s">
        <v>766</v>
      </c>
    </row>
    <row r="212" ht="15.75" customHeight="1">
      <c r="A212" s="33" t="s">
        <v>65</v>
      </c>
      <c r="B212" s="33" t="s">
        <v>214</v>
      </c>
      <c r="C212" s="33" t="s">
        <v>214</v>
      </c>
      <c r="D212" s="33" t="s">
        <v>14</v>
      </c>
      <c r="E212" s="34">
        <v>798.0</v>
      </c>
      <c r="F212" s="33" t="s">
        <v>767</v>
      </c>
    </row>
    <row r="213" ht="15.75" customHeight="1">
      <c r="A213" s="33" t="s">
        <v>65</v>
      </c>
      <c r="B213" s="33" t="s">
        <v>39</v>
      </c>
      <c r="C213" s="33" t="s">
        <v>39</v>
      </c>
      <c r="D213" s="33" t="s">
        <v>16</v>
      </c>
      <c r="E213" s="34">
        <v>977.75</v>
      </c>
      <c r="F213" s="33" t="s">
        <v>768</v>
      </c>
    </row>
    <row r="214" ht="15.75" customHeight="1">
      <c r="A214" s="33" t="s">
        <v>65</v>
      </c>
      <c r="B214" s="33" t="s">
        <v>39</v>
      </c>
      <c r="C214" s="33" t="s">
        <v>39</v>
      </c>
      <c r="D214" s="33" t="s">
        <v>16</v>
      </c>
      <c r="E214" s="34">
        <v>2387.66</v>
      </c>
      <c r="F214" s="33" t="s">
        <v>769</v>
      </c>
    </row>
    <row r="215" ht="15.75" customHeight="1">
      <c r="A215" s="33" t="s">
        <v>65</v>
      </c>
      <c r="B215" s="33" t="s">
        <v>351</v>
      </c>
      <c r="C215" s="33" t="s">
        <v>351</v>
      </c>
      <c r="D215" s="33" t="s">
        <v>38</v>
      </c>
      <c r="E215" s="34">
        <v>49.19</v>
      </c>
      <c r="F215" s="33" t="s">
        <v>770</v>
      </c>
    </row>
    <row r="216" ht="15.75" customHeight="1">
      <c r="A216" s="33" t="s">
        <v>65</v>
      </c>
      <c r="B216" s="33" t="s">
        <v>218</v>
      </c>
      <c r="C216" s="33" t="s">
        <v>553</v>
      </c>
      <c r="D216" s="33" t="s">
        <v>40</v>
      </c>
      <c r="E216" s="34">
        <v>32.5</v>
      </c>
      <c r="F216" s="33" t="s">
        <v>771</v>
      </c>
    </row>
    <row r="217" ht="15.75" customHeight="1">
      <c r="A217" s="33" t="s">
        <v>65</v>
      </c>
      <c r="B217" s="33" t="s">
        <v>151</v>
      </c>
      <c r="C217" s="33" t="s">
        <v>151</v>
      </c>
      <c r="D217" s="33" t="s">
        <v>20</v>
      </c>
      <c r="E217" s="34">
        <v>10092.22</v>
      </c>
      <c r="F217" s="33" t="s">
        <v>772</v>
      </c>
    </row>
    <row r="218" ht="15.75" customHeight="1">
      <c r="A218" s="33" t="s">
        <v>65</v>
      </c>
      <c r="B218" s="33" t="s">
        <v>92</v>
      </c>
      <c r="C218" s="33" t="s">
        <v>773</v>
      </c>
      <c r="D218" s="33" t="s">
        <v>26</v>
      </c>
      <c r="E218" s="34">
        <v>34136.35</v>
      </c>
      <c r="F218" s="33" t="s">
        <v>774</v>
      </c>
    </row>
    <row r="219" ht="15.75" customHeight="1">
      <c r="A219" s="33" t="s">
        <v>65</v>
      </c>
      <c r="B219" s="33" t="s">
        <v>396</v>
      </c>
      <c r="C219" s="33" t="s">
        <v>396</v>
      </c>
      <c r="D219" s="33" t="s">
        <v>14</v>
      </c>
      <c r="E219" s="34">
        <v>155.0</v>
      </c>
      <c r="F219" s="33" t="s">
        <v>775</v>
      </c>
    </row>
    <row r="220" ht="15.75" customHeight="1">
      <c r="A220" s="33" t="s">
        <v>65</v>
      </c>
      <c r="B220" s="33" t="s">
        <v>99</v>
      </c>
      <c r="C220" s="33" t="s">
        <v>99</v>
      </c>
      <c r="D220" s="33" t="s">
        <v>16</v>
      </c>
      <c r="E220" s="34">
        <v>4870.0</v>
      </c>
      <c r="F220" s="33" t="s">
        <v>776</v>
      </c>
    </row>
    <row r="221" ht="15.75" customHeight="1">
      <c r="A221" s="33" t="s">
        <v>65</v>
      </c>
      <c r="B221" s="33" t="s">
        <v>294</v>
      </c>
      <c r="C221" s="33" t="s">
        <v>638</v>
      </c>
      <c r="D221" s="33" t="s">
        <v>14</v>
      </c>
      <c r="E221" s="34">
        <v>417.08</v>
      </c>
      <c r="F221" s="33" t="s">
        <v>777</v>
      </c>
    </row>
    <row r="222" ht="15.75" customHeight="1">
      <c r="A222" s="33" t="s">
        <v>65</v>
      </c>
      <c r="B222" s="33" t="s">
        <v>254</v>
      </c>
      <c r="C222" s="33" t="s">
        <v>254</v>
      </c>
      <c r="D222" s="33" t="s">
        <v>14</v>
      </c>
      <c r="E222" s="34">
        <v>186.37</v>
      </c>
      <c r="F222" s="33" t="s">
        <v>778</v>
      </c>
    </row>
    <row r="223" ht="15.75" customHeight="1">
      <c r="A223" s="33" t="s">
        <v>65</v>
      </c>
      <c r="B223" s="33" t="s">
        <v>190</v>
      </c>
      <c r="C223" s="33" t="s">
        <v>190</v>
      </c>
      <c r="D223" s="33" t="s">
        <v>40</v>
      </c>
      <c r="E223" s="34">
        <v>121.76</v>
      </c>
      <c r="F223" s="33" t="s">
        <v>711</v>
      </c>
    </row>
    <row r="224" ht="15.75" customHeight="1">
      <c r="A224" s="33" t="s">
        <v>65</v>
      </c>
      <c r="B224" s="33" t="s">
        <v>130</v>
      </c>
      <c r="C224" s="33" t="s">
        <v>657</v>
      </c>
      <c r="D224" s="33" t="s">
        <v>14</v>
      </c>
      <c r="E224" s="34">
        <v>949.21</v>
      </c>
      <c r="F224" s="33" t="s">
        <v>779</v>
      </c>
    </row>
    <row r="225" ht="15.75" customHeight="1">
      <c r="A225" s="33" t="s">
        <v>65</v>
      </c>
      <c r="B225" s="33" t="s">
        <v>103</v>
      </c>
      <c r="C225" s="33" t="s">
        <v>103</v>
      </c>
      <c r="D225" s="33" t="s">
        <v>30</v>
      </c>
      <c r="E225" s="34">
        <v>2657.0</v>
      </c>
      <c r="F225" s="33" t="s">
        <v>780</v>
      </c>
    </row>
    <row r="226" ht="15.75" customHeight="1">
      <c r="A226" s="33" t="s">
        <v>65</v>
      </c>
      <c r="B226" s="33" t="s">
        <v>390</v>
      </c>
      <c r="C226" s="33" t="s">
        <v>390</v>
      </c>
      <c r="D226" s="33" t="s">
        <v>14</v>
      </c>
      <c r="E226" s="34">
        <v>126.0</v>
      </c>
      <c r="F226" s="33" t="s">
        <v>648</v>
      </c>
    </row>
    <row r="227" ht="15.75" customHeight="1">
      <c r="A227" s="33" t="s">
        <v>65</v>
      </c>
      <c r="B227" s="33" t="s">
        <v>29</v>
      </c>
      <c r="C227" s="33" t="s">
        <v>29</v>
      </c>
      <c r="D227" s="33" t="s">
        <v>28</v>
      </c>
      <c r="E227" s="34">
        <v>42542.5</v>
      </c>
      <c r="F227" s="33" t="s">
        <v>781</v>
      </c>
    </row>
    <row r="228" ht="15.75" customHeight="1">
      <c r="A228" s="33" t="s">
        <v>65</v>
      </c>
      <c r="B228" s="33" t="s">
        <v>161</v>
      </c>
      <c r="C228" s="33" t="s">
        <v>596</v>
      </c>
      <c r="D228" s="33" t="s">
        <v>38</v>
      </c>
      <c r="E228" s="34">
        <v>220.47</v>
      </c>
      <c r="F228" s="33" t="s">
        <v>715</v>
      </c>
    </row>
    <row r="229" ht="15.75" customHeight="1">
      <c r="A229" s="33" t="s">
        <v>65</v>
      </c>
      <c r="B229" s="33" t="s">
        <v>338</v>
      </c>
      <c r="C229" s="33" t="s">
        <v>338</v>
      </c>
      <c r="D229" s="33" t="s">
        <v>16</v>
      </c>
      <c r="E229" s="34">
        <v>50.0</v>
      </c>
      <c r="F229" s="33" t="s">
        <v>782</v>
      </c>
    </row>
    <row r="230" ht="15.75" customHeight="1">
      <c r="A230" s="33" t="s">
        <v>65</v>
      </c>
      <c r="B230" s="33" t="s">
        <v>478</v>
      </c>
      <c r="C230" s="33" t="s">
        <v>478</v>
      </c>
      <c r="D230" s="33" t="s">
        <v>14</v>
      </c>
      <c r="E230" s="34">
        <v>94.88</v>
      </c>
      <c r="F230" s="33" t="s">
        <v>783</v>
      </c>
    </row>
    <row r="231" ht="15.75" customHeight="1">
      <c r="A231" s="33" t="s">
        <v>65</v>
      </c>
      <c r="B231" s="33" t="s">
        <v>151</v>
      </c>
      <c r="C231" s="33" t="s">
        <v>151</v>
      </c>
      <c r="D231" s="33" t="s">
        <v>20</v>
      </c>
      <c r="E231" s="34">
        <v>5046.12</v>
      </c>
      <c r="F231" s="33" t="s">
        <v>784</v>
      </c>
    </row>
    <row r="232" ht="15.75" customHeight="1">
      <c r="A232" s="33" t="s">
        <v>65</v>
      </c>
      <c r="B232" s="33" t="s">
        <v>33</v>
      </c>
      <c r="C232" s="33" t="s">
        <v>785</v>
      </c>
      <c r="D232" s="33" t="s">
        <v>22</v>
      </c>
      <c r="E232" s="34">
        <v>1246.25</v>
      </c>
      <c r="F232" s="33" t="s">
        <v>786</v>
      </c>
    </row>
    <row r="233" ht="15.75" customHeight="1">
      <c r="A233" s="33" t="s">
        <v>65</v>
      </c>
      <c r="B233" s="33" t="s">
        <v>452</v>
      </c>
      <c r="C233" s="33" t="s">
        <v>452</v>
      </c>
      <c r="D233" s="33" t="s">
        <v>18</v>
      </c>
      <c r="E233" s="34">
        <v>150.34</v>
      </c>
      <c r="F233" s="33" t="s">
        <v>787</v>
      </c>
    </row>
    <row r="234" ht="15.75" customHeight="1">
      <c r="A234" s="33" t="s">
        <v>65</v>
      </c>
      <c r="B234" s="33" t="s">
        <v>183</v>
      </c>
      <c r="C234" s="33" t="s">
        <v>183</v>
      </c>
      <c r="D234" s="33" t="s">
        <v>16</v>
      </c>
      <c r="E234" s="34">
        <v>649.1</v>
      </c>
      <c r="F234" s="33" t="s">
        <v>610</v>
      </c>
    </row>
    <row r="235" ht="15.75" customHeight="1">
      <c r="A235" s="33" t="s">
        <v>65</v>
      </c>
      <c r="B235" s="33" t="s">
        <v>300</v>
      </c>
      <c r="C235" s="33" t="s">
        <v>300</v>
      </c>
      <c r="D235" s="33" t="s">
        <v>14</v>
      </c>
      <c r="E235" s="34">
        <v>10.0</v>
      </c>
      <c r="F235" s="33" t="s">
        <v>788</v>
      </c>
    </row>
    <row r="236" ht="15.75" customHeight="1">
      <c r="A236" s="33" t="s">
        <v>65</v>
      </c>
      <c r="B236" s="33" t="s">
        <v>19</v>
      </c>
      <c r="C236" s="33" t="s">
        <v>19</v>
      </c>
      <c r="D236" s="33" t="s">
        <v>16</v>
      </c>
      <c r="E236" s="34">
        <v>93027.44</v>
      </c>
      <c r="F236" s="33" t="s">
        <v>789</v>
      </c>
    </row>
    <row r="237" ht="15.75" customHeight="1">
      <c r="A237" s="33" t="s">
        <v>65</v>
      </c>
      <c r="B237" s="33" t="s">
        <v>137</v>
      </c>
      <c r="C237" s="33" t="s">
        <v>137</v>
      </c>
      <c r="D237" s="33" t="s">
        <v>18</v>
      </c>
      <c r="E237" s="34">
        <v>114.32</v>
      </c>
      <c r="F237" s="33" t="s">
        <v>790</v>
      </c>
    </row>
    <row r="238" ht="15.75" customHeight="1">
      <c r="A238" s="33" t="s">
        <v>65</v>
      </c>
      <c r="B238" s="33" t="s">
        <v>123</v>
      </c>
      <c r="C238" s="33" t="s">
        <v>123</v>
      </c>
      <c r="D238" s="33" t="s">
        <v>20</v>
      </c>
      <c r="E238" s="34">
        <v>3614.17</v>
      </c>
      <c r="F238" s="33" t="s">
        <v>791</v>
      </c>
    </row>
    <row r="239" ht="15.75" customHeight="1">
      <c r="A239" s="33" t="s">
        <v>65</v>
      </c>
      <c r="B239" s="33" t="s">
        <v>256</v>
      </c>
      <c r="C239" s="33" t="s">
        <v>792</v>
      </c>
      <c r="D239" s="33" t="s">
        <v>14</v>
      </c>
      <c r="E239" s="34">
        <v>1072.5</v>
      </c>
      <c r="F239" s="33" t="s">
        <v>793</v>
      </c>
    </row>
    <row r="240" ht="15.75" customHeight="1">
      <c r="A240" s="33" t="s">
        <v>65</v>
      </c>
      <c r="B240" s="33" t="s">
        <v>113</v>
      </c>
      <c r="C240" s="33" t="s">
        <v>540</v>
      </c>
      <c r="D240" s="33" t="s">
        <v>14</v>
      </c>
      <c r="E240" s="34">
        <v>1840.44</v>
      </c>
      <c r="F240" s="33" t="s">
        <v>794</v>
      </c>
    </row>
    <row r="241" ht="15.75" customHeight="1">
      <c r="A241" s="33" t="s">
        <v>65</v>
      </c>
      <c r="B241" s="33" t="s">
        <v>366</v>
      </c>
      <c r="C241" s="33" t="s">
        <v>366</v>
      </c>
      <c r="D241" s="33" t="s">
        <v>38</v>
      </c>
      <c r="E241" s="34">
        <v>159.18</v>
      </c>
      <c r="F241" s="33" t="s">
        <v>795</v>
      </c>
    </row>
    <row r="242" ht="15.75" customHeight="1">
      <c r="A242" s="33" t="s">
        <v>65</v>
      </c>
      <c r="B242" s="33" t="s">
        <v>127</v>
      </c>
      <c r="C242" s="33" t="s">
        <v>127</v>
      </c>
      <c r="D242" s="33" t="s">
        <v>36</v>
      </c>
      <c r="E242" s="34">
        <v>1160.23</v>
      </c>
      <c r="F242" s="33" t="s">
        <v>796</v>
      </c>
    </row>
    <row r="243" ht="15.75" customHeight="1">
      <c r="A243" s="33" t="s">
        <v>65</v>
      </c>
      <c r="B243" s="33" t="s">
        <v>468</v>
      </c>
      <c r="C243" s="33" t="s">
        <v>468</v>
      </c>
      <c r="D243" s="33" t="s">
        <v>14</v>
      </c>
      <c r="E243" s="34">
        <v>106.0</v>
      </c>
      <c r="F243" s="33" t="s">
        <v>797</v>
      </c>
    </row>
    <row r="244" ht="15.75" customHeight="1">
      <c r="A244" s="33" t="s">
        <v>65</v>
      </c>
      <c r="B244" s="33" t="s">
        <v>176</v>
      </c>
      <c r="C244" s="33" t="s">
        <v>798</v>
      </c>
      <c r="D244" s="33" t="s">
        <v>14</v>
      </c>
      <c r="E244" s="34">
        <v>11899.0</v>
      </c>
      <c r="F244" s="33" t="s">
        <v>799</v>
      </c>
    </row>
    <row r="245" ht="15.75" customHeight="1">
      <c r="A245" s="33" t="s">
        <v>65</v>
      </c>
      <c r="B245" s="33" t="s">
        <v>301</v>
      </c>
      <c r="C245" s="33" t="s">
        <v>547</v>
      </c>
      <c r="D245" s="33" t="s">
        <v>14</v>
      </c>
      <c r="E245" s="34">
        <v>333.6</v>
      </c>
      <c r="F245" s="33" t="s">
        <v>800</v>
      </c>
    </row>
    <row r="246" ht="15.75" customHeight="1">
      <c r="A246" s="33" t="s">
        <v>65</v>
      </c>
      <c r="B246" s="33" t="s">
        <v>150</v>
      </c>
      <c r="C246" s="33" t="s">
        <v>551</v>
      </c>
      <c r="D246" s="33" t="s">
        <v>26</v>
      </c>
      <c r="E246" s="34">
        <v>1144.0</v>
      </c>
      <c r="F246" s="33" t="s">
        <v>801</v>
      </c>
    </row>
    <row r="247" ht="15.75" customHeight="1">
      <c r="A247" s="33" t="s">
        <v>65</v>
      </c>
      <c r="B247" s="33" t="s">
        <v>277</v>
      </c>
      <c r="C247" s="33" t="s">
        <v>277</v>
      </c>
      <c r="D247" s="33" t="s">
        <v>14</v>
      </c>
      <c r="E247" s="34">
        <v>149.5</v>
      </c>
      <c r="F247" s="33" t="s">
        <v>802</v>
      </c>
    </row>
    <row r="248" ht="15.75" customHeight="1">
      <c r="A248" s="33" t="s">
        <v>65</v>
      </c>
      <c r="B248" s="33" t="s">
        <v>218</v>
      </c>
      <c r="C248" s="33" t="s">
        <v>553</v>
      </c>
      <c r="D248" s="33" t="s">
        <v>40</v>
      </c>
      <c r="E248" s="34">
        <v>33.75</v>
      </c>
      <c r="F248" s="33" t="s">
        <v>741</v>
      </c>
    </row>
    <row r="249" ht="15.75" customHeight="1">
      <c r="A249" s="33" t="s">
        <v>65</v>
      </c>
      <c r="B249" s="33" t="s">
        <v>209</v>
      </c>
      <c r="C249" s="33" t="s">
        <v>803</v>
      </c>
      <c r="D249" s="33" t="s">
        <v>14</v>
      </c>
      <c r="E249" s="34">
        <v>5212.0</v>
      </c>
      <c r="F249" s="33" t="s">
        <v>804</v>
      </c>
    </row>
    <row r="250" ht="15.75" customHeight="1">
      <c r="A250" s="33" t="s">
        <v>65</v>
      </c>
      <c r="B250" s="33" t="s">
        <v>35</v>
      </c>
      <c r="C250" s="33" t="s">
        <v>35</v>
      </c>
      <c r="D250" s="33" t="s">
        <v>22</v>
      </c>
      <c r="E250" s="34">
        <v>44968.0</v>
      </c>
      <c r="F250" s="33" t="s">
        <v>688</v>
      </c>
    </row>
    <row r="251" ht="15.75" customHeight="1">
      <c r="A251" s="33" t="s">
        <v>65</v>
      </c>
      <c r="B251" s="33" t="s">
        <v>334</v>
      </c>
      <c r="C251" s="33" t="s">
        <v>334</v>
      </c>
      <c r="D251" s="33" t="s">
        <v>14</v>
      </c>
      <c r="E251" s="34">
        <v>408.0</v>
      </c>
      <c r="F251" s="33" t="s">
        <v>805</v>
      </c>
    </row>
    <row r="252" ht="15.75" customHeight="1">
      <c r="A252" s="33" t="s">
        <v>65</v>
      </c>
      <c r="B252" s="33" t="s">
        <v>446</v>
      </c>
      <c r="C252" s="33" t="s">
        <v>446</v>
      </c>
      <c r="D252" s="33" t="s">
        <v>14</v>
      </c>
      <c r="E252" s="34">
        <v>15.95</v>
      </c>
      <c r="F252" s="33" t="s">
        <v>806</v>
      </c>
    </row>
    <row r="253" ht="15.75" customHeight="1">
      <c r="A253" s="33" t="s">
        <v>65</v>
      </c>
      <c r="B253" s="33" t="s">
        <v>314</v>
      </c>
      <c r="C253" s="33" t="s">
        <v>314</v>
      </c>
      <c r="D253" s="33" t="s">
        <v>14</v>
      </c>
      <c r="E253" s="34">
        <v>823.19</v>
      </c>
      <c r="F253" s="33" t="s">
        <v>807</v>
      </c>
    </row>
    <row r="254" ht="15.75" customHeight="1">
      <c r="A254" s="33" t="s">
        <v>65</v>
      </c>
      <c r="B254" s="33" t="s">
        <v>191</v>
      </c>
      <c r="C254" s="33" t="s">
        <v>191</v>
      </c>
      <c r="D254" s="33" t="s">
        <v>14</v>
      </c>
      <c r="E254" s="34">
        <v>841.23</v>
      </c>
      <c r="F254" s="33" t="s">
        <v>701</v>
      </c>
    </row>
    <row r="255" ht="15.75" customHeight="1">
      <c r="A255" s="33" t="s">
        <v>65</v>
      </c>
      <c r="B255" s="33" t="s">
        <v>165</v>
      </c>
      <c r="C255" s="33" t="s">
        <v>808</v>
      </c>
      <c r="D255" s="33" t="s">
        <v>14</v>
      </c>
      <c r="E255" s="34">
        <v>11944.0</v>
      </c>
      <c r="F255" s="33" t="s">
        <v>809</v>
      </c>
    </row>
    <row r="256" ht="15.75" customHeight="1">
      <c r="A256" s="33" t="s">
        <v>65</v>
      </c>
      <c r="B256" s="33" t="s">
        <v>186</v>
      </c>
      <c r="C256" s="33" t="s">
        <v>186</v>
      </c>
      <c r="D256" s="33" t="s">
        <v>18</v>
      </c>
      <c r="E256" s="34">
        <v>398.33</v>
      </c>
      <c r="F256" s="33" t="s">
        <v>810</v>
      </c>
    </row>
    <row r="257" ht="15.75" customHeight="1">
      <c r="A257" s="33" t="s">
        <v>65</v>
      </c>
      <c r="B257" s="33" t="s">
        <v>99</v>
      </c>
      <c r="C257" s="33" t="s">
        <v>99</v>
      </c>
      <c r="D257" s="33" t="s">
        <v>16</v>
      </c>
      <c r="E257" s="34">
        <v>4870.0</v>
      </c>
      <c r="F257" s="33" t="s">
        <v>811</v>
      </c>
    </row>
    <row r="258" ht="15.75" customHeight="1">
      <c r="A258" s="33" t="s">
        <v>65</v>
      </c>
      <c r="B258" s="33" t="s">
        <v>144</v>
      </c>
      <c r="C258" s="33" t="s">
        <v>144</v>
      </c>
      <c r="D258" s="33" t="s">
        <v>18</v>
      </c>
      <c r="E258" s="34">
        <v>459.02</v>
      </c>
      <c r="F258" s="33" t="s">
        <v>644</v>
      </c>
    </row>
    <row r="259" ht="15.75" customHeight="1">
      <c r="A259" s="33" t="s">
        <v>65</v>
      </c>
      <c r="B259" s="33" t="s">
        <v>447</v>
      </c>
      <c r="C259" s="33" t="s">
        <v>447</v>
      </c>
      <c r="D259" s="33" t="s">
        <v>14</v>
      </c>
      <c r="E259" s="34">
        <v>206.0</v>
      </c>
      <c r="F259" s="33" t="s">
        <v>812</v>
      </c>
    </row>
    <row r="260" ht="15.75" customHeight="1">
      <c r="A260" s="33" t="s">
        <v>65</v>
      </c>
      <c r="B260" s="33" t="s">
        <v>233</v>
      </c>
      <c r="C260" s="33" t="s">
        <v>583</v>
      </c>
      <c r="D260" s="33" t="s">
        <v>14</v>
      </c>
      <c r="E260" s="34">
        <v>2546.08</v>
      </c>
      <c r="F260" s="33" t="s">
        <v>813</v>
      </c>
    </row>
    <row r="261" ht="15.75" customHeight="1">
      <c r="A261" s="33" t="s">
        <v>65</v>
      </c>
      <c r="B261" s="33" t="s">
        <v>239</v>
      </c>
      <c r="C261" s="33" t="s">
        <v>814</v>
      </c>
      <c r="D261" s="33" t="s">
        <v>18</v>
      </c>
      <c r="E261" s="34">
        <v>812.37</v>
      </c>
      <c r="F261" s="33" t="s">
        <v>815</v>
      </c>
    </row>
    <row r="262" ht="15.75" customHeight="1">
      <c r="A262" s="33" t="s">
        <v>65</v>
      </c>
      <c r="B262" s="33" t="s">
        <v>430</v>
      </c>
      <c r="C262" s="33" t="s">
        <v>816</v>
      </c>
      <c r="D262" s="33" t="s">
        <v>14</v>
      </c>
      <c r="E262" s="34">
        <v>149.83</v>
      </c>
      <c r="F262" s="33" t="s">
        <v>817</v>
      </c>
    </row>
    <row r="263" ht="15.75" customHeight="1">
      <c r="A263" s="33" t="s">
        <v>65</v>
      </c>
      <c r="B263" s="33" t="s">
        <v>125</v>
      </c>
      <c r="C263" s="33" t="s">
        <v>587</v>
      </c>
      <c r="D263" s="33" t="s">
        <v>20</v>
      </c>
      <c r="E263" s="34">
        <v>226.5</v>
      </c>
      <c r="F263" s="33" t="s">
        <v>818</v>
      </c>
    </row>
    <row r="264" ht="15.75" customHeight="1">
      <c r="A264" s="33" t="s">
        <v>65</v>
      </c>
      <c r="B264" s="33" t="s">
        <v>120</v>
      </c>
      <c r="C264" s="33" t="s">
        <v>819</v>
      </c>
      <c r="D264" s="33" t="s">
        <v>14</v>
      </c>
      <c r="E264" s="34">
        <v>1160.72</v>
      </c>
      <c r="F264" s="33" t="s">
        <v>820</v>
      </c>
    </row>
    <row r="265" ht="15.75" customHeight="1">
      <c r="A265" s="33" t="s">
        <v>65</v>
      </c>
      <c r="B265" s="33" t="s">
        <v>179</v>
      </c>
      <c r="C265" s="33" t="s">
        <v>716</v>
      </c>
      <c r="D265" s="33" t="s">
        <v>14</v>
      </c>
      <c r="E265" s="34">
        <v>307.24</v>
      </c>
      <c r="F265" s="33" t="s">
        <v>717</v>
      </c>
    </row>
    <row r="266" ht="15.75" customHeight="1">
      <c r="A266" s="33" t="s">
        <v>65</v>
      </c>
      <c r="B266" s="33" t="s">
        <v>338</v>
      </c>
      <c r="C266" s="33" t="s">
        <v>338</v>
      </c>
      <c r="D266" s="33" t="s">
        <v>16</v>
      </c>
      <c r="E266" s="34">
        <v>50.0</v>
      </c>
      <c r="F266" s="33" t="s">
        <v>821</v>
      </c>
    </row>
    <row r="267" ht="15.75" customHeight="1">
      <c r="A267" s="33" t="s">
        <v>65</v>
      </c>
      <c r="B267" s="33" t="s">
        <v>180</v>
      </c>
      <c r="C267" s="33" t="s">
        <v>180</v>
      </c>
      <c r="D267" s="33" t="s">
        <v>36</v>
      </c>
      <c r="E267" s="34">
        <v>874.14</v>
      </c>
      <c r="F267" s="33" t="s">
        <v>822</v>
      </c>
    </row>
    <row r="268" ht="15.75" customHeight="1">
      <c r="A268" s="33" t="s">
        <v>65</v>
      </c>
      <c r="B268" s="33" t="s">
        <v>369</v>
      </c>
      <c r="C268" s="33" t="s">
        <v>369</v>
      </c>
      <c r="D268" s="33" t="s">
        <v>36</v>
      </c>
      <c r="E268" s="34">
        <v>61.11</v>
      </c>
      <c r="F268" s="33" t="s">
        <v>823</v>
      </c>
    </row>
    <row r="269" ht="15.75" customHeight="1">
      <c r="A269" s="33" t="s">
        <v>65</v>
      </c>
      <c r="B269" s="33" t="s">
        <v>382</v>
      </c>
      <c r="C269" s="33" t="s">
        <v>382</v>
      </c>
      <c r="D269" s="33" t="s">
        <v>36</v>
      </c>
      <c r="E269" s="34">
        <v>51.49</v>
      </c>
      <c r="F269" s="33" t="s">
        <v>824</v>
      </c>
    </row>
    <row r="270" ht="15.75" customHeight="1">
      <c r="A270" s="33" t="s">
        <v>65</v>
      </c>
      <c r="B270" s="33" t="s">
        <v>243</v>
      </c>
      <c r="C270" s="33" t="s">
        <v>243</v>
      </c>
      <c r="D270" s="33" t="s">
        <v>14</v>
      </c>
      <c r="E270" s="34">
        <v>336.0</v>
      </c>
      <c r="F270" s="33" t="s">
        <v>604</v>
      </c>
    </row>
    <row r="271" ht="15.75" customHeight="1">
      <c r="A271" s="33" t="s">
        <v>65</v>
      </c>
      <c r="B271" s="33" t="s">
        <v>356</v>
      </c>
      <c r="C271" s="33" t="s">
        <v>356</v>
      </c>
      <c r="D271" s="33" t="s">
        <v>14</v>
      </c>
      <c r="E271" s="34">
        <v>135.0</v>
      </c>
      <c r="F271" s="33" t="s">
        <v>825</v>
      </c>
    </row>
    <row r="272" ht="15.75" customHeight="1">
      <c r="A272" s="33" t="s">
        <v>65</v>
      </c>
      <c r="B272" s="33" t="s">
        <v>91</v>
      </c>
      <c r="C272" s="33" t="s">
        <v>91</v>
      </c>
      <c r="D272" s="33" t="s">
        <v>32</v>
      </c>
      <c r="E272" s="34">
        <v>11785.8</v>
      </c>
      <c r="F272" s="33" t="s">
        <v>826</v>
      </c>
    </row>
    <row r="273" ht="15.75" customHeight="1">
      <c r="A273" s="33" t="s">
        <v>65</v>
      </c>
      <c r="B273" s="33" t="s">
        <v>33</v>
      </c>
      <c r="C273" s="33" t="s">
        <v>785</v>
      </c>
      <c r="D273" s="33" t="s">
        <v>22</v>
      </c>
      <c r="E273" s="34">
        <v>52974.66</v>
      </c>
      <c r="F273" s="33" t="s">
        <v>827</v>
      </c>
    </row>
    <row r="274" ht="15.75" customHeight="1">
      <c r="A274" s="33" t="s">
        <v>66</v>
      </c>
      <c r="B274" s="33" t="s">
        <v>108</v>
      </c>
      <c r="C274" s="33" t="s">
        <v>108</v>
      </c>
      <c r="D274" s="33" t="s">
        <v>14</v>
      </c>
      <c r="E274" s="34">
        <v>67938.76</v>
      </c>
      <c r="F274" s="33" t="s">
        <v>828</v>
      </c>
    </row>
    <row r="275" ht="15.75" customHeight="1">
      <c r="A275" s="33" t="s">
        <v>66</v>
      </c>
      <c r="B275" s="33" t="s">
        <v>27</v>
      </c>
      <c r="C275" s="33" t="s">
        <v>829</v>
      </c>
      <c r="D275" s="33" t="s">
        <v>24</v>
      </c>
      <c r="E275" s="34">
        <v>4175.24</v>
      </c>
      <c r="F275" s="33" t="s">
        <v>830</v>
      </c>
    </row>
    <row r="276" ht="15.75" customHeight="1">
      <c r="A276" s="33" t="s">
        <v>66</v>
      </c>
      <c r="B276" s="33" t="s">
        <v>312</v>
      </c>
      <c r="C276" s="33" t="s">
        <v>831</v>
      </c>
      <c r="D276" s="33" t="s">
        <v>38</v>
      </c>
      <c r="E276" s="34">
        <v>110.0</v>
      </c>
      <c r="F276" s="33" t="s">
        <v>832</v>
      </c>
    </row>
    <row r="277" ht="15.75" customHeight="1">
      <c r="A277" s="33" t="s">
        <v>66</v>
      </c>
      <c r="B277" s="33" t="s">
        <v>123</v>
      </c>
      <c r="C277" s="33" t="s">
        <v>123</v>
      </c>
      <c r="D277" s="33" t="s">
        <v>20</v>
      </c>
      <c r="E277" s="34">
        <v>516.08</v>
      </c>
      <c r="F277" s="33" t="s">
        <v>833</v>
      </c>
    </row>
    <row r="278" ht="15.75" customHeight="1">
      <c r="A278" s="33" t="s">
        <v>66</v>
      </c>
      <c r="B278" s="33" t="s">
        <v>90</v>
      </c>
      <c r="C278" s="33" t="s">
        <v>536</v>
      </c>
      <c r="D278" s="33" t="s">
        <v>18</v>
      </c>
      <c r="E278" s="34">
        <v>1632.6</v>
      </c>
      <c r="F278" s="33" t="s">
        <v>834</v>
      </c>
    </row>
    <row r="279" ht="15.75" customHeight="1">
      <c r="A279" s="33" t="s">
        <v>66</v>
      </c>
      <c r="B279" s="33" t="s">
        <v>116</v>
      </c>
      <c r="C279" s="33" t="s">
        <v>116</v>
      </c>
      <c r="D279" s="33" t="s">
        <v>20</v>
      </c>
      <c r="E279" s="34">
        <v>5326.0</v>
      </c>
      <c r="F279" s="33" t="s">
        <v>835</v>
      </c>
    </row>
    <row r="280" ht="15.75" customHeight="1">
      <c r="A280" s="33" t="s">
        <v>66</v>
      </c>
      <c r="B280" s="33" t="s">
        <v>337</v>
      </c>
      <c r="C280" s="33" t="s">
        <v>337</v>
      </c>
      <c r="D280" s="33" t="s">
        <v>14</v>
      </c>
      <c r="E280" s="34">
        <v>1234.28</v>
      </c>
      <c r="F280" s="33" t="s">
        <v>836</v>
      </c>
    </row>
    <row r="281" ht="15.75" customHeight="1">
      <c r="A281" s="33" t="s">
        <v>66</v>
      </c>
      <c r="B281" s="33" t="s">
        <v>386</v>
      </c>
      <c r="C281" s="33" t="s">
        <v>837</v>
      </c>
      <c r="D281" s="33" t="s">
        <v>14</v>
      </c>
      <c r="E281" s="34">
        <v>567.6</v>
      </c>
      <c r="F281" s="33" t="s">
        <v>838</v>
      </c>
    </row>
    <row r="282" ht="15.75" customHeight="1">
      <c r="A282" s="33" t="s">
        <v>66</v>
      </c>
      <c r="B282" s="33" t="s">
        <v>186</v>
      </c>
      <c r="C282" s="33" t="s">
        <v>186</v>
      </c>
      <c r="D282" s="33" t="s">
        <v>18</v>
      </c>
      <c r="E282" s="34">
        <v>244.03</v>
      </c>
      <c r="F282" s="33" t="s">
        <v>839</v>
      </c>
    </row>
    <row r="283" ht="15.75" customHeight="1">
      <c r="A283" s="33" t="s">
        <v>66</v>
      </c>
      <c r="B283" s="33" t="s">
        <v>135</v>
      </c>
      <c r="C283" s="33" t="s">
        <v>840</v>
      </c>
      <c r="D283" s="33" t="s">
        <v>14</v>
      </c>
      <c r="E283" s="34">
        <v>3540.56</v>
      </c>
      <c r="F283" s="33" t="s">
        <v>841</v>
      </c>
    </row>
    <row r="284" ht="15.75" customHeight="1">
      <c r="A284" s="33" t="s">
        <v>66</v>
      </c>
      <c r="B284" s="33" t="s">
        <v>235</v>
      </c>
      <c r="C284" s="33" t="s">
        <v>842</v>
      </c>
      <c r="D284" s="33" t="s">
        <v>30</v>
      </c>
      <c r="E284" s="34">
        <v>481.65</v>
      </c>
      <c r="F284" s="33" t="s">
        <v>843</v>
      </c>
    </row>
    <row r="285" ht="15.75" customHeight="1">
      <c r="A285" s="33" t="s">
        <v>66</v>
      </c>
      <c r="B285" s="33" t="s">
        <v>144</v>
      </c>
      <c r="C285" s="33" t="s">
        <v>144</v>
      </c>
      <c r="D285" s="33" t="s">
        <v>18</v>
      </c>
      <c r="E285" s="34">
        <v>99.33</v>
      </c>
      <c r="F285" s="33" t="s">
        <v>844</v>
      </c>
    </row>
    <row r="286" ht="15.75" customHeight="1">
      <c r="A286" s="33" t="s">
        <v>66</v>
      </c>
      <c r="B286" s="33" t="s">
        <v>189</v>
      </c>
      <c r="C286" s="33" t="s">
        <v>189</v>
      </c>
      <c r="D286" s="33" t="s">
        <v>14</v>
      </c>
      <c r="E286" s="34">
        <v>2610.0</v>
      </c>
      <c r="F286" s="33" t="s">
        <v>646</v>
      </c>
    </row>
    <row r="287" ht="15.75" customHeight="1">
      <c r="A287" s="33" t="s">
        <v>66</v>
      </c>
      <c r="B287" s="33" t="s">
        <v>125</v>
      </c>
      <c r="C287" s="33" t="s">
        <v>587</v>
      </c>
      <c r="D287" s="33" t="s">
        <v>20</v>
      </c>
      <c r="E287" s="34">
        <v>970.0</v>
      </c>
      <c r="F287" s="33" t="s">
        <v>845</v>
      </c>
    </row>
    <row r="288" ht="15.75" customHeight="1">
      <c r="A288" s="33" t="s">
        <v>66</v>
      </c>
      <c r="B288" s="33" t="s">
        <v>298</v>
      </c>
      <c r="C288" s="33" t="s">
        <v>594</v>
      </c>
      <c r="D288" s="33" t="s">
        <v>14</v>
      </c>
      <c r="E288" s="34">
        <v>137.04</v>
      </c>
      <c r="F288" s="33" t="s">
        <v>595</v>
      </c>
    </row>
    <row r="289" ht="15.75" customHeight="1">
      <c r="A289" s="33" t="s">
        <v>66</v>
      </c>
      <c r="B289" s="33" t="s">
        <v>328</v>
      </c>
      <c r="C289" s="33" t="s">
        <v>328</v>
      </c>
      <c r="D289" s="33" t="s">
        <v>36</v>
      </c>
      <c r="E289" s="34">
        <v>107.36</v>
      </c>
      <c r="F289" s="33" t="s">
        <v>600</v>
      </c>
    </row>
    <row r="290" ht="15.75" customHeight="1">
      <c r="A290" s="33" t="s">
        <v>66</v>
      </c>
      <c r="B290" s="33" t="s">
        <v>242</v>
      </c>
      <c r="C290" s="33" t="s">
        <v>242</v>
      </c>
      <c r="D290" s="33" t="s">
        <v>36</v>
      </c>
      <c r="E290" s="34">
        <v>647.89</v>
      </c>
      <c r="F290" s="33" t="s">
        <v>601</v>
      </c>
    </row>
    <row r="291" ht="15.75" customHeight="1">
      <c r="A291" s="33" t="s">
        <v>66</v>
      </c>
      <c r="B291" s="33" t="s">
        <v>278</v>
      </c>
      <c r="C291" s="33" t="s">
        <v>846</v>
      </c>
      <c r="D291" s="33" t="s">
        <v>14</v>
      </c>
      <c r="E291" s="34">
        <v>525.0</v>
      </c>
      <c r="F291" s="33" t="s">
        <v>847</v>
      </c>
    </row>
    <row r="292" ht="15.75" customHeight="1">
      <c r="A292" s="33" t="s">
        <v>66</v>
      </c>
      <c r="B292" s="33" t="s">
        <v>351</v>
      </c>
      <c r="C292" s="33" t="s">
        <v>351</v>
      </c>
      <c r="D292" s="33" t="s">
        <v>38</v>
      </c>
      <c r="E292" s="34">
        <v>31.89</v>
      </c>
      <c r="F292" s="33" t="s">
        <v>738</v>
      </c>
    </row>
    <row r="293" ht="15.75" customHeight="1">
      <c r="A293" s="33" t="s">
        <v>66</v>
      </c>
      <c r="B293" s="33" t="s">
        <v>196</v>
      </c>
      <c r="C293" s="33" t="s">
        <v>196</v>
      </c>
      <c r="D293" s="33" t="s">
        <v>30</v>
      </c>
      <c r="E293" s="34">
        <v>75.6</v>
      </c>
      <c r="F293" s="33" t="s">
        <v>848</v>
      </c>
    </row>
    <row r="294" ht="15.75" customHeight="1">
      <c r="A294" s="33" t="s">
        <v>66</v>
      </c>
      <c r="B294" s="33" t="s">
        <v>391</v>
      </c>
      <c r="C294" s="33" t="s">
        <v>849</v>
      </c>
      <c r="D294" s="33" t="s">
        <v>14</v>
      </c>
      <c r="E294" s="34">
        <v>601.32</v>
      </c>
      <c r="F294" s="33" t="s">
        <v>850</v>
      </c>
    </row>
    <row r="295" ht="15.75" customHeight="1">
      <c r="A295" s="33" t="s">
        <v>66</v>
      </c>
      <c r="B295" s="33" t="s">
        <v>235</v>
      </c>
      <c r="C295" s="33" t="s">
        <v>842</v>
      </c>
      <c r="D295" s="33" t="s">
        <v>30</v>
      </c>
      <c r="E295" s="34">
        <v>1187.88</v>
      </c>
      <c r="F295" s="33" t="s">
        <v>851</v>
      </c>
    </row>
    <row r="296" ht="15.75" customHeight="1">
      <c r="A296" s="33" t="s">
        <v>66</v>
      </c>
      <c r="B296" s="33" t="s">
        <v>223</v>
      </c>
      <c r="C296" s="33" t="s">
        <v>852</v>
      </c>
      <c r="D296" s="33" t="s">
        <v>14</v>
      </c>
      <c r="E296" s="34">
        <v>858.0</v>
      </c>
      <c r="F296" s="33" t="s">
        <v>853</v>
      </c>
    </row>
    <row r="297" ht="15.75" customHeight="1">
      <c r="A297" s="33" t="s">
        <v>66</v>
      </c>
      <c r="B297" s="33" t="s">
        <v>103</v>
      </c>
      <c r="C297" s="33" t="s">
        <v>103</v>
      </c>
      <c r="D297" s="33" t="s">
        <v>30</v>
      </c>
      <c r="E297" s="34">
        <v>1438.8</v>
      </c>
      <c r="F297" s="33" t="s">
        <v>756</v>
      </c>
    </row>
    <row r="298" ht="15.75" customHeight="1">
      <c r="A298" s="33" t="s">
        <v>66</v>
      </c>
      <c r="B298" s="33" t="s">
        <v>161</v>
      </c>
      <c r="C298" s="33" t="s">
        <v>596</v>
      </c>
      <c r="D298" s="33" t="s">
        <v>38</v>
      </c>
      <c r="E298" s="34">
        <v>168.64</v>
      </c>
      <c r="F298" s="33" t="s">
        <v>854</v>
      </c>
    </row>
    <row r="299" ht="15.75" customHeight="1">
      <c r="A299" s="33" t="s">
        <v>66</v>
      </c>
      <c r="B299" s="33" t="s">
        <v>246</v>
      </c>
      <c r="C299" s="33" t="s">
        <v>246</v>
      </c>
      <c r="D299" s="33" t="s">
        <v>42</v>
      </c>
      <c r="E299" s="34">
        <v>348.0</v>
      </c>
      <c r="F299" s="33" t="s">
        <v>855</v>
      </c>
    </row>
    <row r="300" ht="15.75" customHeight="1">
      <c r="A300" s="33" t="s">
        <v>67</v>
      </c>
      <c r="B300" s="33" t="s">
        <v>269</v>
      </c>
      <c r="C300" s="33" t="s">
        <v>856</v>
      </c>
      <c r="D300" s="33" t="s">
        <v>14</v>
      </c>
      <c r="E300" s="34">
        <v>277.5</v>
      </c>
      <c r="F300" s="33" t="s">
        <v>857</v>
      </c>
    </row>
    <row r="301" ht="15.75" customHeight="1">
      <c r="A301" s="33" t="s">
        <v>67</v>
      </c>
      <c r="B301" s="33" t="s">
        <v>344</v>
      </c>
      <c r="C301" s="33" t="s">
        <v>344</v>
      </c>
      <c r="D301" s="33" t="s">
        <v>14</v>
      </c>
      <c r="E301" s="34">
        <v>460.65</v>
      </c>
      <c r="F301" s="33" t="s">
        <v>858</v>
      </c>
    </row>
    <row r="302" ht="15.75" customHeight="1">
      <c r="A302" s="33" t="s">
        <v>67</v>
      </c>
      <c r="B302" s="33" t="s">
        <v>220</v>
      </c>
      <c r="C302" s="33" t="s">
        <v>220</v>
      </c>
      <c r="D302" s="33" t="s">
        <v>18</v>
      </c>
      <c r="E302" s="34">
        <v>1685.58</v>
      </c>
      <c r="F302" s="33" t="s">
        <v>859</v>
      </c>
    </row>
    <row r="303" ht="15.75" customHeight="1">
      <c r="A303" s="33" t="s">
        <v>67</v>
      </c>
      <c r="B303" s="33" t="s">
        <v>183</v>
      </c>
      <c r="C303" s="33" t="s">
        <v>183</v>
      </c>
      <c r="D303" s="33" t="s">
        <v>16</v>
      </c>
      <c r="E303" s="34">
        <v>649.1</v>
      </c>
      <c r="F303" s="33" t="s">
        <v>610</v>
      </c>
    </row>
    <row r="304" ht="15.75" customHeight="1">
      <c r="A304" s="33" t="s">
        <v>67</v>
      </c>
      <c r="B304" s="33" t="s">
        <v>122</v>
      </c>
      <c r="C304" s="33" t="s">
        <v>529</v>
      </c>
      <c r="D304" s="33" t="s">
        <v>20</v>
      </c>
      <c r="E304" s="34">
        <v>99.0</v>
      </c>
      <c r="F304" s="33" t="s">
        <v>860</v>
      </c>
    </row>
    <row r="305" ht="15.75" customHeight="1">
      <c r="A305" s="33" t="s">
        <v>67</v>
      </c>
      <c r="B305" s="33" t="s">
        <v>310</v>
      </c>
      <c r="C305" s="33" t="s">
        <v>310</v>
      </c>
      <c r="D305" s="33" t="s">
        <v>14</v>
      </c>
      <c r="E305" s="34">
        <v>1775.0</v>
      </c>
      <c r="F305" s="33" t="s">
        <v>861</v>
      </c>
    </row>
    <row r="306" ht="15.75" customHeight="1">
      <c r="A306" s="33" t="s">
        <v>67</v>
      </c>
      <c r="B306" s="33" t="s">
        <v>110</v>
      </c>
      <c r="C306" s="33" t="s">
        <v>110</v>
      </c>
      <c r="D306" s="33" t="s">
        <v>36</v>
      </c>
      <c r="E306" s="34">
        <v>4412.11</v>
      </c>
      <c r="F306" s="33" t="s">
        <v>862</v>
      </c>
    </row>
    <row r="307" ht="15.75" customHeight="1">
      <c r="A307" s="33" t="s">
        <v>67</v>
      </c>
      <c r="B307" s="33" t="s">
        <v>278</v>
      </c>
      <c r="C307" s="33" t="s">
        <v>846</v>
      </c>
      <c r="D307" s="33" t="s">
        <v>14</v>
      </c>
      <c r="E307" s="34">
        <v>350.0</v>
      </c>
      <c r="F307" s="33" t="s">
        <v>863</v>
      </c>
    </row>
    <row r="308" ht="15.75" customHeight="1">
      <c r="A308" s="33" t="s">
        <v>67</v>
      </c>
      <c r="B308" s="33" t="s">
        <v>102</v>
      </c>
      <c r="C308" s="33" t="s">
        <v>615</v>
      </c>
      <c r="D308" s="33" t="s">
        <v>14</v>
      </c>
      <c r="E308" s="34">
        <v>12069.42</v>
      </c>
      <c r="F308" s="33" t="s">
        <v>616</v>
      </c>
    </row>
    <row r="309" ht="15.75" customHeight="1">
      <c r="A309" s="33" t="s">
        <v>67</v>
      </c>
      <c r="B309" s="33" t="s">
        <v>19</v>
      </c>
      <c r="C309" s="33" t="s">
        <v>19</v>
      </c>
      <c r="D309" s="33" t="s">
        <v>16</v>
      </c>
      <c r="E309" s="34">
        <v>85394.08</v>
      </c>
      <c r="F309" s="33" t="s">
        <v>864</v>
      </c>
    </row>
    <row r="310" ht="15.75" customHeight="1">
      <c r="A310" s="33" t="s">
        <v>67</v>
      </c>
      <c r="B310" s="33" t="s">
        <v>312</v>
      </c>
      <c r="C310" s="33" t="s">
        <v>831</v>
      </c>
      <c r="D310" s="33" t="s">
        <v>38</v>
      </c>
      <c r="E310" s="34">
        <v>55.0</v>
      </c>
      <c r="F310" s="33" t="s">
        <v>865</v>
      </c>
    </row>
    <row r="311" ht="15.75" customHeight="1">
      <c r="A311" s="33" t="s">
        <v>67</v>
      </c>
      <c r="B311" s="33" t="s">
        <v>123</v>
      </c>
      <c r="C311" s="33" t="s">
        <v>123</v>
      </c>
      <c r="D311" s="33" t="s">
        <v>20</v>
      </c>
      <c r="E311" s="34">
        <v>1698.63</v>
      </c>
      <c r="F311" s="33" t="s">
        <v>866</v>
      </c>
    </row>
    <row r="312" ht="15.75" customHeight="1">
      <c r="A312" s="33" t="s">
        <v>67</v>
      </c>
      <c r="B312" s="33" t="s">
        <v>516</v>
      </c>
      <c r="C312" s="33" t="s">
        <v>516</v>
      </c>
      <c r="D312" s="33" t="s">
        <v>14</v>
      </c>
      <c r="E312" s="34">
        <v>15.0</v>
      </c>
      <c r="F312" s="33" t="s">
        <v>867</v>
      </c>
    </row>
    <row r="313" ht="15.75" customHeight="1">
      <c r="A313" s="33" t="s">
        <v>67</v>
      </c>
      <c r="B313" s="33" t="s">
        <v>366</v>
      </c>
      <c r="C313" s="33" t="s">
        <v>366</v>
      </c>
      <c r="D313" s="33" t="s">
        <v>38</v>
      </c>
      <c r="E313" s="34">
        <v>47.43</v>
      </c>
      <c r="F313" s="33" t="s">
        <v>868</v>
      </c>
    </row>
    <row r="314" ht="15.75" customHeight="1">
      <c r="A314" s="33" t="s">
        <v>67</v>
      </c>
      <c r="B314" s="33" t="s">
        <v>214</v>
      </c>
      <c r="C314" s="33" t="s">
        <v>214</v>
      </c>
      <c r="D314" s="33" t="s">
        <v>14</v>
      </c>
      <c r="E314" s="34">
        <v>468.0</v>
      </c>
      <c r="F314" s="33" t="s">
        <v>624</v>
      </c>
    </row>
    <row r="315" ht="15.75" customHeight="1">
      <c r="A315" s="33" t="s">
        <v>67</v>
      </c>
      <c r="B315" s="33" t="s">
        <v>127</v>
      </c>
      <c r="C315" s="33" t="s">
        <v>127</v>
      </c>
      <c r="D315" s="33" t="s">
        <v>36</v>
      </c>
      <c r="E315" s="34">
        <v>739.69</v>
      </c>
      <c r="F315" s="33" t="s">
        <v>869</v>
      </c>
    </row>
    <row r="316" ht="15.75" customHeight="1">
      <c r="A316" s="33" t="s">
        <v>67</v>
      </c>
      <c r="B316" s="33" t="s">
        <v>39</v>
      </c>
      <c r="C316" s="33" t="s">
        <v>39</v>
      </c>
      <c r="D316" s="33" t="s">
        <v>16</v>
      </c>
      <c r="E316" s="34">
        <v>720.61</v>
      </c>
      <c r="F316" s="33" t="s">
        <v>870</v>
      </c>
    </row>
    <row r="317" ht="15.75" customHeight="1">
      <c r="A317" s="33" t="s">
        <v>67</v>
      </c>
      <c r="B317" s="33" t="s">
        <v>39</v>
      </c>
      <c r="C317" s="33" t="s">
        <v>39</v>
      </c>
      <c r="D317" s="33" t="s">
        <v>16</v>
      </c>
      <c r="E317" s="34">
        <v>2404.92</v>
      </c>
      <c r="F317" s="33" t="s">
        <v>871</v>
      </c>
    </row>
    <row r="318" ht="15.75" customHeight="1">
      <c r="A318" s="33" t="s">
        <v>67</v>
      </c>
      <c r="B318" s="33" t="s">
        <v>116</v>
      </c>
      <c r="C318" s="33" t="s">
        <v>116</v>
      </c>
      <c r="D318" s="33" t="s">
        <v>20</v>
      </c>
      <c r="E318" s="34">
        <v>21178.1</v>
      </c>
      <c r="F318" s="33" t="s">
        <v>872</v>
      </c>
    </row>
    <row r="319" ht="15.75" customHeight="1">
      <c r="A319" s="33" t="s">
        <v>67</v>
      </c>
      <c r="B319" s="33" t="s">
        <v>41</v>
      </c>
      <c r="C319" s="33" t="s">
        <v>873</v>
      </c>
      <c r="D319" s="33" t="s">
        <v>14</v>
      </c>
      <c r="E319" s="34">
        <v>239358.99</v>
      </c>
      <c r="F319" s="33" t="s">
        <v>874</v>
      </c>
    </row>
    <row r="320" ht="15.75" customHeight="1">
      <c r="A320" s="33" t="s">
        <v>67</v>
      </c>
      <c r="B320" s="33" t="s">
        <v>33</v>
      </c>
      <c r="C320" s="33" t="s">
        <v>785</v>
      </c>
      <c r="D320" s="33" t="s">
        <v>22</v>
      </c>
      <c r="E320" s="34">
        <v>383.75</v>
      </c>
      <c r="F320" s="33" t="s">
        <v>875</v>
      </c>
    </row>
    <row r="321" ht="15.75" customHeight="1">
      <c r="A321" s="33" t="s">
        <v>67</v>
      </c>
      <c r="B321" s="33" t="s">
        <v>351</v>
      </c>
      <c r="C321" s="33" t="s">
        <v>351</v>
      </c>
      <c r="D321" s="33" t="s">
        <v>38</v>
      </c>
      <c r="E321" s="34">
        <v>10.25</v>
      </c>
      <c r="F321" s="33" t="s">
        <v>770</v>
      </c>
    </row>
    <row r="322" ht="15.75" customHeight="1">
      <c r="A322" s="33" t="s">
        <v>67</v>
      </c>
      <c r="B322" s="33" t="s">
        <v>355</v>
      </c>
      <c r="C322" s="33" t="s">
        <v>355</v>
      </c>
      <c r="D322" s="33" t="s">
        <v>14</v>
      </c>
      <c r="E322" s="34">
        <v>732.0</v>
      </c>
      <c r="F322" s="33" t="s">
        <v>876</v>
      </c>
    </row>
    <row r="323" ht="15.75" customHeight="1">
      <c r="A323" s="33" t="s">
        <v>67</v>
      </c>
      <c r="B323" s="33" t="s">
        <v>150</v>
      </c>
      <c r="C323" s="33" t="s">
        <v>551</v>
      </c>
      <c r="D323" s="33" t="s">
        <v>26</v>
      </c>
      <c r="E323" s="34">
        <v>1658.0</v>
      </c>
      <c r="F323" s="33" t="s">
        <v>877</v>
      </c>
    </row>
    <row r="324" ht="15.75" customHeight="1">
      <c r="A324" s="33" t="s">
        <v>67</v>
      </c>
      <c r="B324" s="33" t="s">
        <v>331</v>
      </c>
      <c r="C324" s="33" t="s">
        <v>331</v>
      </c>
      <c r="D324" s="33" t="s">
        <v>14</v>
      </c>
      <c r="E324" s="34">
        <v>75.0</v>
      </c>
      <c r="F324" s="33" t="s">
        <v>878</v>
      </c>
    </row>
    <row r="325" ht="15.75" customHeight="1">
      <c r="A325" s="33" t="s">
        <v>67</v>
      </c>
      <c r="B325" s="33" t="s">
        <v>209</v>
      </c>
      <c r="C325" s="33" t="s">
        <v>803</v>
      </c>
      <c r="D325" s="33" t="s">
        <v>14</v>
      </c>
      <c r="E325" s="34">
        <v>2746.0</v>
      </c>
      <c r="F325" s="33" t="s">
        <v>879</v>
      </c>
    </row>
    <row r="326" ht="15.75" customHeight="1">
      <c r="A326" s="33" t="s">
        <v>67</v>
      </c>
      <c r="B326" s="33" t="s">
        <v>259</v>
      </c>
      <c r="C326" s="33" t="s">
        <v>680</v>
      </c>
      <c r="D326" s="33" t="s">
        <v>14</v>
      </c>
      <c r="E326" s="34">
        <v>1625.0</v>
      </c>
      <c r="F326" s="33" t="s">
        <v>880</v>
      </c>
    </row>
    <row r="327" ht="15.75" customHeight="1">
      <c r="A327" s="33" t="s">
        <v>67</v>
      </c>
      <c r="B327" s="33" t="s">
        <v>196</v>
      </c>
      <c r="C327" s="33" t="s">
        <v>196</v>
      </c>
      <c r="D327" s="33" t="s">
        <v>30</v>
      </c>
      <c r="E327" s="34">
        <v>955.58</v>
      </c>
      <c r="F327" s="33" t="s">
        <v>881</v>
      </c>
    </row>
    <row r="328" ht="15.75" customHeight="1">
      <c r="A328" s="33" t="s">
        <v>67</v>
      </c>
      <c r="B328" s="33" t="s">
        <v>35</v>
      </c>
      <c r="C328" s="33" t="s">
        <v>35</v>
      </c>
      <c r="D328" s="33" t="s">
        <v>22</v>
      </c>
      <c r="E328" s="34">
        <v>14097.0</v>
      </c>
      <c r="F328" s="33" t="s">
        <v>882</v>
      </c>
    </row>
    <row r="329" ht="15.75" customHeight="1">
      <c r="A329" s="33" t="s">
        <v>67</v>
      </c>
      <c r="B329" s="33" t="s">
        <v>92</v>
      </c>
      <c r="C329" s="33" t="s">
        <v>773</v>
      </c>
      <c r="D329" s="33" t="s">
        <v>26</v>
      </c>
      <c r="E329" s="34">
        <v>77377.98</v>
      </c>
      <c r="F329" s="33" t="s">
        <v>774</v>
      </c>
    </row>
    <row r="330" ht="15.75" customHeight="1">
      <c r="A330" s="33" t="s">
        <v>67</v>
      </c>
      <c r="B330" s="33" t="s">
        <v>290</v>
      </c>
      <c r="C330" s="33" t="s">
        <v>568</v>
      </c>
      <c r="D330" s="33" t="s">
        <v>14</v>
      </c>
      <c r="E330" s="34">
        <v>174.0</v>
      </c>
      <c r="F330" s="33" t="s">
        <v>569</v>
      </c>
    </row>
    <row r="331" ht="15.75" customHeight="1">
      <c r="A331" s="33" t="s">
        <v>67</v>
      </c>
      <c r="B331" s="33" t="s">
        <v>334</v>
      </c>
      <c r="C331" s="33" t="s">
        <v>334</v>
      </c>
      <c r="D331" s="33" t="s">
        <v>14</v>
      </c>
      <c r="E331" s="34">
        <v>246.65</v>
      </c>
      <c r="F331" s="33" t="s">
        <v>883</v>
      </c>
    </row>
    <row r="332" ht="15.75" customHeight="1">
      <c r="A332" s="33" t="s">
        <v>67</v>
      </c>
      <c r="B332" s="33" t="s">
        <v>446</v>
      </c>
      <c r="C332" s="33" t="s">
        <v>446</v>
      </c>
      <c r="D332" s="33" t="s">
        <v>14</v>
      </c>
      <c r="E332" s="34">
        <v>15.95</v>
      </c>
      <c r="F332" s="33" t="s">
        <v>884</v>
      </c>
    </row>
    <row r="333" ht="15.75" customHeight="1">
      <c r="A333" s="33" t="s">
        <v>67</v>
      </c>
      <c r="B333" s="33" t="s">
        <v>93</v>
      </c>
      <c r="C333" s="33" t="s">
        <v>93</v>
      </c>
      <c r="D333" s="33" t="s">
        <v>16</v>
      </c>
      <c r="E333" s="34">
        <v>25.0</v>
      </c>
      <c r="F333" s="33" t="s">
        <v>885</v>
      </c>
    </row>
    <row r="334" ht="15.75" customHeight="1">
      <c r="A334" s="33" t="s">
        <v>67</v>
      </c>
      <c r="B334" s="33" t="s">
        <v>444</v>
      </c>
      <c r="C334" s="33" t="s">
        <v>444</v>
      </c>
      <c r="D334" s="33" t="s">
        <v>14</v>
      </c>
      <c r="E334" s="34">
        <v>210.41</v>
      </c>
      <c r="F334" s="33" t="s">
        <v>886</v>
      </c>
    </row>
    <row r="335" ht="15.75" customHeight="1">
      <c r="A335" s="33" t="s">
        <v>67</v>
      </c>
      <c r="B335" s="33" t="s">
        <v>358</v>
      </c>
      <c r="C335" s="33" t="s">
        <v>358</v>
      </c>
      <c r="D335" s="33" t="s">
        <v>14</v>
      </c>
      <c r="E335" s="34">
        <v>900.0</v>
      </c>
      <c r="F335" s="33" t="s">
        <v>887</v>
      </c>
    </row>
    <row r="336" ht="15.75" customHeight="1">
      <c r="A336" s="33" t="s">
        <v>67</v>
      </c>
      <c r="B336" s="33" t="s">
        <v>99</v>
      </c>
      <c r="C336" s="33" t="s">
        <v>99</v>
      </c>
      <c r="D336" s="33" t="s">
        <v>16</v>
      </c>
      <c r="E336" s="34">
        <v>4870.0</v>
      </c>
      <c r="F336" s="33" t="s">
        <v>888</v>
      </c>
    </row>
    <row r="337" ht="15.75" customHeight="1">
      <c r="A337" s="33" t="s">
        <v>67</v>
      </c>
      <c r="B337" s="33" t="s">
        <v>15</v>
      </c>
      <c r="C337" s="33" t="s">
        <v>15</v>
      </c>
      <c r="D337" s="33" t="s">
        <v>20</v>
      </c>
      <c r="E337" s="34">
        <v>45593.75</v>
      </c>
      <c r="F337" s="33" t="s">
        <v>749</v>
      </c>
    </row>
    <row r="338" ht="15.75" customHeight="1">
      <c r="A338" s="33" t="s">
        <v>67</v>
      </c>
      <c r="B338" s="33" t="s">
        <v>168</v>
      </c>
      <c r="C338" s="33" t="s">
        <v>889</v>
      </c>
      <c r="D338" s="33" t="s">
        <v>14</v>
      </c>
      <c r="E338" s="34">
        <v>515.0</v>
      </c>
      <c r="F338" s="33" t="s">
        <v>890</v>
      </c>
    </row>
    <row r="339" ht="15.75" customHeight="1">
      <c r="A339" s="33" t="s">
        <v>67</v>
      </c>
      <c r="B339" s="33" t="s">
        <v>372</v>
      </c>
      <c r="C339" s="33" t="s">
        <v>372</v>
      </c>
      <c r="D339" s="33" t="s">
        <v>14</v>
      </c>
      <c r="E339" s="34">
        <v>794.0</v>
      </c>
      <c r="F339" s="33" t="s">
        <v>891</v>
      </c>
    </row>
    <row r="340" ht="15.75" customHeight="1">
      <c r="A340" s="33" t="s">
        <v>67</v>
      </c>
      <c r="B340" s="33" t="s">
        <v>294</v>
      </c>
      <c r="C340" s="33" t="s">
        <v>638</v>
      </c>
      <c r="D340" s="33" t="s">
        <v>14</v>
      </c>
      <c r="E340" s="34">
        <v>4.84</v>
      </c>
      <c r="F340" s="33" t="s">
        <v>892</v>
      </c>
    </row>
    <row r="341" ht="15.75" customHeight="1">
      <c r="A341" s="33" t="s">
        <v>67</v>
      </c>
      <c r="B341" s="33" t="s">
        <v>384</v>
      </c>
      <c r="C341" s="33" t="s">
        <v>640</v>
      </c>
      <c r="D341" s="33" t="s">
        <v>14</v>
      </c>
      <c r="E341" s="34">
        <v>35.0</v>
      </c>
      <c r="F341" s="33" t="s">
        <v>641</v>
      </c>
    </row>
    <row r="342" ht="15.75" customHeight="1">
      <c r="A342" s="33" t="s">
        <v>67</v>
      </c>
      <c r="B342" s="33" t="s">
        <v>105</v>
      </c>
      <c r="C342" s="33" t="s">
        <v>893</v>
      </c>
      <c r="D342" s="33" t="s">
        <v>22</v>
      </c>
      <c r="E342" s="34">
        <v>26100.0</v>
      </c>
      <c r="F342" s="33" t="s">
        <v>894</v>
      </c>
    </row>
    <row r="343" ht="15.75" customHeight="1">
      <c r="A343" s="33" t="s">
        <v>67</v>
      </c>
      <c r="B343" s="33" t="s">
        <v>144</v>
      </c>
      <c r="C343" s="33" t="s">
        <v>144</v>
      </c>
      <c r="D343" s="33" t="s">
        <v>18</v>
      </c>
      <c r="E343" s="34">
        <v>764.16</v>
      </c>
      <c r="F343" s="33" t="s">
        <v>895</v>
      </c>
    </row>
    <row r="344" ht="15.75" customHeight="1">
      <c r="A344" s="33" t="s">
        <v>67</v>
      </c>
      <c r="B344" s="33" t="s">
        <v>237</v>
      </c>
      <c r="C344" s="33" t="s">
        <v>896</v>
      </c>
      <c r="D344" s="33" t="s">
        <v>14</v>
      </c>
      <c r="E344" s="34">
        <v>3950.0</v>
      </c>
      <c r="F344" s="33" t="s">
        <v>897</v>
      </c>
    </row>
    <row r="345" ht="15.75" customHeight="1">
      <c r="A345" s="33" t="s">
        <v>67</v>
      </c>
      <c r="B345" s="33" t="s">
        <v>233</v>
      </c>
      <c r="C345" s="33" t="s">
        <v>583</v>
      </c>
      <c r="D345" s="33" t="s">
        <v>14</v>
      </c>
      <c r="E345" s="34">
        <v>2186.59</v>
      </c>
      <c r="F345" s="33" t="s">
        <v>898</v>
      </c>
    </row>
    <row r="346" ht="15.75" customHeight="1">
      <c r="A346" s="33" t="s">
        <v>67</v>
      </c>
      <c r="B346" s="33" t="s">
        <v>190</v>
      </c>
      <c r="C346" s="33" t="s">
        <v>190</v>
      </c>
      <c r="D346" s="33" t="s">
        <v>40</v>
      </c>
      <c r="E346" s="34">
        <v>498.41</v>
      </c>
      <c r="F346" s="33" t="s">
        <v>711</v>
      </c>
    </row>
    <row r="347" ht="15.75" customHeight="1">
      <c r="A347" s="33" t="s">
        <v>67</v>
      </c>
      <c r="B347" s="33" t="s">
        <v>125</v>
      </c>
      <c r="C347" s="33" t="s">
        <v>587</v>
      </c>
      <c r="D347" s="33" t="s">
        <v>20</v>
      </c>
      <c r="E347" s="34">
        <v>4118.3</v>
      </c>
      <c r="F347" s="33" t="s">
        <v>899</v>
      </c>
    </row>
    <row r="348" ht="15.75" customHeight="1">
      <c r="A348" s="33" t="s">
        <v>67</v>
      </c>
      <c r="B348" s="33" t="s">
        <v>245</v>
      </c>
      <c r="C348" s="33" t="s">
        <v>245</v>
      </c>
      <c r="D348" s="33" t="s">
        <v>14</v>
      </c>
      <c r="E348" s="34">
        <v>4821.3</v>
      </c>
      <c r="F348" s="33" t="s">
        <v>900</v>
      </c>
    </row>
    <row r="349" ht="15.75" customHeight="1">
      <c r="A349" s="33" t="s">
        <v>67</v>
      </c>
      <c r="B349" s="33" t="s">
        <v>390</v>
      </c>
      <c r="C349" s="33" t="s">
        <v>390</v>
      </c>
      <c r="D349" s="33" t="s">
        <v>14</v>
      </c>
      <c r="E349" s="34">
        <v>357.0</v>
      </c>
      <c r="F349" s="33" t="s">
        <v>901</v>
      </c>
    </row>
    <row r="350" ht="15.75" customHeight="1">
      <c r="A350" s="33" t="s">
        <v>67</v>
      </c>
      <c r="B350" s="33" t="s">
        <v>29</v>
      </c>
      <c r="C350" s="33" t="s">
        <v>29</v>
      </c>
      <c r="D350" s="33" t="s">
        <v>28</v>
      </c>
      <c r="E350" s="34">
        <v>31692.0</v>
      </c>
      <c r="F350" s="33" t="s">
        <v>902</v>
      </c>
    </row>
    <row r="351" ht="15.75" customHeight="1">
      <c r="A351" s="33" t="s">
        <v>67</v>
      </c>
      <c r="B351" s="33" t="s">
        <v>159</v>
      </c>
      <c r="C351" s="33" t="s">
        <v>903</v>
      </c>
      <c r="D351" s="33" t="s">
        <v>14</v>
      </c>
      <c r="E351" s="34">
        <v>5200.0</v>
      </c>
      <c r="F351" s="33" t="s">
        <v>904</v>
      </c>
    </row>
    <row r="352" ht="15.75" customHeight="1">
      <c r="A352" s="33" t="s">
        <v>67</v>
      </c>
      <c r="B352" s="33" t="s">
        <v>161</v>
      </c>
      <c r="C352" s="33" t="s">
        <v>596</v>
      </c>
      <c r="D352" s="33" t="s">
        <v>38</v>
      </c>
      <c r="E352" s="34">
        <v>135.03</v>
      </c>
      <c r="F352" s="33" t="s">
        <v>715</v>
      </c>
    </row>
    <row r="353" ht="15.75" customHeight="1">
      <c r="A353" s="33" t="s">
        <v>67</v>
      </c>
      <c r="B353" s="33" t="s">
        <v>179</v>
      </c>
      <c r="C353" s="33" t="s">
        <v>716</v>
      </c>
      <c r="D353" s="33" t="s">
        <v>14</v>
      </c>
      <c r="E353" s="34">
        <v>277.52</v>
      </c>
      <c r="F353" s="33" t="s">
        <v>717</v>
      </c>
    </row>
    <row r="354" ht="15.75" customHeight="1">
      <c r="A354" s="33" t="s">
        <v>67</v>
      </c>
      <c r="B354" s="33" t="s">
        <v>338</v>
      </c>
      <c r="C354" s="33" t="s">
        <v>338</v>
      </c>
      <c r="D354" s="33" t="s">
        <v>16</v>
      </c>
      <c r="E354" s="34">
        <v>50.0</v>
      </c>
      <c r="F354" s="33" t="s">
        <v>720</v>
      </c>
    </row>
    <row r="355" ht="15.75" customHeight="1">
      <c r="A355" s="33" t="s">
        <v>67</v>
      </c>
      <c r="B355" s="33" t="s">
        <v>180</v>
      </c>
      <c r="C355" s="33" t="s">
        <v>180</v>
      </c>
      <c r="D355" s="33" t="s">
        <v>36</v>
      </c>
      <c r="E355" s="34">
        <v>862.83</v>
      </c>
      <c r="F355" s="33" t="s">
        <v>905</v>
      </c>
    </row>
    <row r="356" ht="15.75" customHeight="1">
      <c r="A356" s="33" t="s">
        <v>67</v>
      </c>
      <c r="B356" s="33" t="s">
        <v>369</v>
      </c>
      <c r="C356" s="33" t="s">
        <v>369</v>
      </c>
      <c r="D356" s="33" t="s">
        <v>36</v>
      </c>
      <c r="E356" s="34">
        <v>61.11</v>
      </c>
      <c r="F356" s="33" t="s">
        <v>906</v>
      </c>
    </row>
    <row r="357" ht="15.75" customHeight="1">
      <c r="A357" s="33" t="s">
        <v>67</v>
      </c>
      <c r="B357" s="33" t="s">
        <v>382</v>
      </c>
      <c r="C357" s="33" t="s">
        <v>382</v>
      </c>
      <c r="D357" s="33" t="s">
        <v>36</v>
      </c>
      <c r="E357" s="34">
        <v>51.64</v>
      </c>
      <c r="F357" s="33" t="s">
        <v>907</v>
      </c>
    </row>
    <row r="358" ht="15.75" customHeight="1">
      <c r="A358" s="33" t="s">
        <v>67</v>
      </c>
      <c r="B358" s="33" t="s">
        <v>243</v>
      </c>
      <c r="C358" s="33" t="s">
        <v>243</v>
      </c>
      <c r="D358" s="33" t="s">
        <v>14</v>
      </c>
      <c r="E358" s="34">
        <v>336.0</v>
      </c>
      <c r="F358" s="33" t="s">
        <v>604</v>
      </c>
    </row>
    <row r="359" ht="15.75" customHeight="1">
      <c r="A359" s="33" t="s">
        <v>67</v>
      </c>
      <c r="B359" s="33" t="s">
        <v>91</v>
      </c>
      <c r="C359" s="33" t="s">
        <v>91</v>
      </c>
      <c r="D359" s="33" t="s">
        <v>32</v>
      </c>
      <c r="E359" s="34">
        <v>12448.8</v>
      </c>
      <c r="F359" s="33" t="s">
        <v>908</v>
      </c>
    </row>
    <row r="360" ht="15.75" customHeight="1">
      <c r="A360" s="33" t="s">
        <v>67</v>
      </c>
      <c r="B360" s="33" t="s">
        <v>346</v>
      </c>
      <c r="C360" s="33" t="s">
        <v>346</v>
      </c>
      <c r="D360" s="33" t="s">
        <v>14</v>
      </c>
      <c r="E360" s="34">
        <v>685.23</v>
      </c>
      <c r="F360" s="33" t="s">
        <v>909</v>
      </c>
    </row>
    <row r="361" ht="15.75" customHeight="1">
      <c r="A361" s="33" t="s">
        <v>67</v>
      </c>
      <c r="B361" s="33" t="s">
        <v>132</v>
      </c>
      <c r="C361" s="33" t="s">
        <v>132</v>
      </c>
      <c r="D361" s="33" t="s">
        <v>30</v>
      </c>
      <c r="E361" s="34">
        <v>880.0</v>
      </c>
      <c r="F361" s="33" t="s">
        <v>521</v>
      </c>
    </row>
    <row r="362" ht="15.75" customHeight="1">
      <c r="A362" s="33" t="s">
        <v>67</v>
      </c>
      <c r="B362" s="33" t="s">
        <v>122</v>
      </c>
      <c r="C362" s="33" t="s">
        <v>529</v>
      </c>
      <c r="D362" s="33" t="s">
        <v>20</v>
      </c>
      <c r="E362" s="34">
        <v>3390.0</v>
      </c>
      <c r="F362" s="33" t="s">
        <v>910</v>
      </c>
    </row>
    <row r="363" ht="15.75" customHeight="1">
      <c r="A363" s="33" t="s">
        <v>67</v>
      </c>
      <c r="B363" s="33" t="s">
        <v>323</v>
      </c>
      <c r="C363" s="33" t="s">
        <v>323</v>
      </c>
      <c r="D363" s="33" t="s">
        <v>14</v>
      </c>
      <c r="E363" s="34">
        <v>1321.39</v>
      </c>
      <c r="F363" s="33" t="s">
        <v>911</v>
      </c>
    </row>
    <row r="364" ht="15.75" customHeight="1">
      <c r="A364" s="33" t="s">
        <v>67</v>
      </c>
      <c r="B364" s="33" t="s">
        <v>376</v>
      </c>
      <c r="C364" s="33" t="s">
        <v>376</v>
      </c>
      <c r="D364" s="33" t="s">
        <v>14</v>
      </c>
      <c r="E364" s="34">
        <v>374.0</v>
      </c>
      <c r="F364" s="33" t="s">
        <v>912</v>
      </c>
    </row>
    <row r="365" ht="15.75" customHeight="1">
      <c r="A365" s="33" t="s">
        <v>67</v>
      </c>
      <c r="B365" s="33" t="s">
        <v>312</v>
      </c>
      <c r="C365" s="33" t="s">
        <v>831</v>
      </c>
      <c r="D365" s="33" t="s">
        <v>38</v>
      </c>
      <c r="E365" s="34">
        <v>215.0</v>
      </c>
      <c r="F365" s="33" t="s">
        <v>913</v>
      </c>
    </row>
    <row r="366" ht="15.75" customHeight="1">
      <c r="A366" s="33" t="s">
        <v>67</v>
      </c>
      <c r="B366" s="33" t="s">
        <v>123</v>
      </c>
      <c r="C366" s="33" t="s">
        <v>123</v>
      </c>
      <c r="D366" s="33" t="s">
        <v>20</v>
      </c>
      <c r="E366" s="34">
        <v>913.5</v>
      </c>
      <c r="F366" s="33" t="s">
        <v>914</v>
      </c>
    </row>
    <row r="367" ht="15.75" customHeight="1">
      <c r="A367" s="33" t="s">
        <v>67</v>
      </c>
      <c r="B367" s="33" t="s">
        <v>90</v>
      </c>
      <c r="C367" s="33" t="s">
        <v>536</v>
      </c>
      <c r="D367" s="33" t="s">
        <v>18</v>
      </c>
      <c r="E367" s="34">
        <v>1140.0</v>
      </c>
      <c r="F367" s="33" t="s">
        <v>915</v>
      </c>
    </row>
    <row r="368" ht="15.75" customHeight="1">
      <c r="A368" s="33" t="s">
        <v>67</v>
      </c>
      <c r="B368" s="33" t="s">
        <v>113</v>
      </c>
      <c r="C368" s="33" t="s">
        <v>540</v>
      </c>
      <c r="D368" s="33" t="s">
        <v>14</v>
      </c>
      <c r="E368" s="34">
        <v>5430.91</v>
      </c>
      <c r="F368" s="33" t="s">
        <v>916</v>
      </c>
    </row>
    <row r="369" ht="15.75" customHeight="1">
      <c r="A369" s="33" t="s">
        <v>67</v>
      </c>
      <c r="B369" s="33" t="s">
        <v>366</v>
      </c>
      <c r="C369" s="33" t="s">
        <v>366</v>
      </c>
      <c r="D369" s="33" t="s">
        <v>38</v>
      </c>
      <c r="E369" s="34">
        <v>51.9</v>
      </c>
      <c r="F369" s="33" t="s">
        <v>917</v>
      </c>
    </row>
    <row r="370" ht="15.75" customHeight="1">
      <c r="A370" s="33" t="s">
        <v>67</v>
      </c>
      <c r="B370" s="33" t="s">
        <v>401</v>
      </c>
      <c r="C370" s="33" t="s">
        <v>401</v>
      </c>
      <c r="D370" s="33" t="s">
        <v>14</v>
      </c>
      <c r="E370" s="34">
        <v>506.92</v>
      </c>
      <c r="F370" s="33" t="s">
        <v>918</v>
      </c>
    </row>
    <row r="371" ht="15.75" customHeight="1">
      <c r="A371" s="33" t="s">
        <v>67</v>
      </c>
      <c r="B371" s="33" t="s">
        <v>250</v>
      </c>
      <c r="C371" s="33" t="s">
        <v>250</v>
      </c>
      <c r="D371" s="33" t="s">
        <v>14</v>
      </c>
      <c r="E371" s="34">
        <v>300.0</v>
      </c>
      <c r="F371" s="33" t="s">
        <v>912</v>
      </c>
    </row>
    <row r="372" ht="15.75" customHeight="1">
      <c r="A372" s="33" t="s">
        <v>67</v>
      </c>
      <c r="B372" s="33" t="s">
        <v>127</v>
      </c>
      <c r="C372" s="33" t="s">
        <v>127</v>
      </c>
      <c r="D372" s="33" t="s">
        <v>36</v>
      </c>
      <c r="E372" s="34">
        <v>1663.13</v>
      </c>
      <c r="F372" s="33" t="s">
        <v>919</v>
      </c>
    </row>
    <row r="373" ht="15.75" customHeight="1">
      <c r="A373" s="33" t="s">
        <v>67</v>
      </c>
      <c r="B373" s="33" t="s">
        <v>142</v>
      </c>
      <c r="C373" s="33" t="s">
        <v>142</v>
      </c>
      <c r="D373" s="33" t="s">
        <v>36</v>
      </c>
      <c r="E373" s="34">
        <v>1762.77</v>
      </c>
      <c r="F373" s="33" t="s">
        <v>543</v>
      </c>
    </row>
    <row r="374" ht="15.75" customHeight="1">
      <c r="A374" s="33" t="s">
        <v>67</v>
      </c>
      <c r="B374" s="33" t="s">
        <v>116</v>
      </c>
      <c r="C374" s="33" t="s">
        <v>116</v>
      </c>
      <c r="D374" s="33" t="s">
        <v>20</v>
      </c>
      <c r="E374" s="34">
        <v>4374.26</v>
      </c>
      <c r="F374" s="33" t="s">
        <v>920</v>
      </c>
    </row>
    <row r="375" ht="15.75" customHeight="1">
      <c r="A375" s="33" t="s">
        <v>67</v>
      </c>
      <c r="B375" s="33" t="s">
        <v>33</v>
      </c>
      <c r="C375" s="33" t="s">
        <v>785</v>
      </c>
      <c r="D375" s="33" t="s">
        <v>22</v>
      </c>
      <c r="E375" s="34">
        <v>11097.18</v>
      </c>
      <c r="F375" s="33" t="s">
        <v>921</v>
      </c>
    </row>
    <row r="376" ht="15.75" customHeight="1">
      <c r="A376" s="33" t="s">
        <v>67</v>
      </c>
      <c r="B376" s="33" t="s">
        <v>460</v>
      </c>
      <c r="C376" s="33" t="s">
        <v>460</v>
      </c>
      <c r="D376" s="33" t="s">
        <v>14</v>
      </c>
      <c r="E376" s="34">
        <v>169.95</v>
      </c>
      <c r="F376" s="33" t="s">
        <v>912</v>
      </c>
    </row>
    <row r="377" ht="15.75" customHeight="1">
      <c r="A377" s="33" t="s">
        <v>67</v>
      </c>
      <c r="B377" s="33" t="s">
        <v>397</v>
      </c>
      <c r="C377" s="33" t="s">
        <v>397</v>
      </c>
      <c r="D377" s="33" t="s">
        <v>14</v>
      </c>
      <c r="E377" s="34">
        <v>174.93</v>
      </c>
      <c r="F377" s="33" t="s">
        <v>912</v>
      </c>
    </row>
    <row r="378" ht="15.75" customHeight="1">
      <c r="A378" s="33" t="s">
        <v>67</v>
      </c>
      <c r="B378" s="33" t="s">
        <v>355</v>
      </c>
      <c r="C378" s="33" t="s">
        <v>355</v>
      </c>
      <c r="D378" s="33" t="s">
        <v>14</v>
      </c>
      <c r="E378" s="34">
        <v>263.07</v>
      </c>
      <c r="F378" s="33" t="s">
        <v>922</v>
      </c>
    </row>
    <row r="379" ht="15.75" customHeight="1">
      <c r="A379" s="33" t="s">
        <v>67</v>
      </c>
      <c r="B379" s="33" t="s">
        <v>377</v>
      </c>
      <c r="C379" s="33" t="s">
        <v>377</v>
      </c>
      <c r="D379" s="33" t="s">
        <v>14</v>
      </c>
      <c r="E379" s="34">
        <v>374.0</v>
      </c>
      <c r="F379" s="33" t="s">
        <v>912</v>
      </c>
    </row>
    <row r="380" ht="15.75" customHeight="1">
      <c r="A380" s="33" t="s">
        <v>67</v>
      </c>
      <c r="B380" s="33" t="s">
        <v>218</v>
      </c>
      <c r="C380" s="33" t="s">
        <v>553</v>
      </c>
      <c r="D380" s="33" t="s">
        <v>40</v>
      </c>
      <c r="E380" s="34">
        <v>906.5</v>
      </c>
      <c r="F380" s="33" t="s">
        <v>923</v>
      </c>
    </row>
    <row r="381" ht="15.75" customHeight="1">
      <c r="A381" s="33" t="s">
        <v>67</v>
      </c>
      <c r="B381" s="33" t="s">
        <v>386</v>
      </c>
      <c r="C381" s="33" t="s">
        <v>837</v>
      </c>
      <c r="D381" s="33" t="s">
        <v>14</v>
      </c>
      <c r="E381" s="34">
        <v>72.25</v>
      </c>
      <c r="F381" s="33" t="s">
        <v>924</v>
      </c>
    </row>
    <row r="382" ht="15.75" customHeight="1">
      <c r="A382" s="33" t="s">
        <v>67</v>
      </c>
      <c r="B382" s="33" t="s">
        <v>196</v>
      </c>
      <c r="C382" s="33" t="s">
        <v>196</v>
      </c>
      <c r="D382" s="33" t="s">
        <v>30</v>
      </c>
      <c r="E382" s="34">
        <v>183.95</v>
      </c>
      <c r="F382" s="33" t="s">
        <v>687</v>
      </c>
    </row>
    <row r="383" ht="15.75" customHeight="1">
      <c r="A383" s="33" t="s">
        <v>67</v>
      </c>
      <c r="B383" s="33" t="s">
        <v>96</v>
      </c>
      <c r="C383" s="33" t="s">
        <v>925</v>
      </c>
      <c r="D383" s="33" t="s">
        <v>20</v>
      </c>
      <c r="E383" s="34">
        <v>13681.86</v>
      </c>
      <c r="F383" s="33" t="s">
        <v>926</v>
      </c>
    </row>
    <row r="384" ht="15.75" customHeight="1">
      <c r="A384" s="33" t="s">
        <v>67</v>
      </c>
      <c r="B384" s="33" t="s">
        <v>221</v>
      </c>
      <c r="C384" s="33" t="s">
        <v>221</v>
      </c>
      <c r="D384" s="33" t="s">
        <v>18</v>
      </c>
      <c r="E384" s="34">
        <v>2845.84</v>
      </c>
      <c r="F384" s="33" t="s">
        <v>927</v>
      </c>
    </row>
    <row r="385" ht="15.75" customHeight="1">
      <c r="A385" s="33" t="s">
        <v>67</v>
      </c>
      <c r="B385" s="33" t="s">
        <v>136</v>
      </c>
      <c r="C385" s="33" t="s">
        <v>136</v>
      </c>
      <c r="D385" s="33" t="s">
        <v>14</v>
      </c>
      <c r="E385" s="34">
        <v>1273.35</v>
      </c>
      <c r="F385" s="33" t="s">
        <v>928</v>
      </c>
    </row>
    <row r="386" ht="15.75" customHeight="1">
      <c r="A386" s="33" t="s">
        <v>67</v>
      </c>
      <c r="B386" s="33" t="s">
        <v>443</v>
      </c>
      <c r="C386" s="33" t="s">
        <v>443</v>
      </c>
      <c r="D386" s="33" t="s">
        <v>14</v>
      </c>
      <c r="E386" s="34">
        <v>61.46</v>
      </c>
      <c r="F386" s="33" t="s">
        <v>929</v>
      </c>
    </row>
    <row r="387" ht="15.75" customHeight="1">
      <c r="A387" s="33" t="s">
        <v>67</v>
      </c>
      <c r="B387" s="33" t="s">
        <v>359</v>
      </c>
      <c r="C387" s="33" t="s">
        <v>359</v>
      </c>
      <c r="D387" s="33" t="s">
        <v>14</v>
      </c>
      <c r="E387" s="34">
        <v>900.0</v>
      </c>
      <c r="F387" s="33" t="s">
        <v>930</v>
      </c>
    </row>
    <row r="388" ht="15.75" customHeight="1">
      <c r="A388" s="33" t="s">
        <v>67</v>
      </c>
      <c r="B388" s="33" t="s">
        <v>467</v>
      </c>
      <c r="C388" s="33" t="s">
        <v>467</v>
      </c>
      <c r="D388" s="33" t="s">
        <v>14</v>
      </c>
      <c r="E388" s="34">
        <v>59.94</v>
      </c>
      <c r="F388" s="33" t="s">
        <v>912</v>
      </c>
    </row>
    <row r="389" ht="15.75" customHeight="1">
      <c r="A389" s="33" t="s">
        <v>67</v>
      </c>
      <c r="B389" s="33" t="s">
        <v>469</v>
      </c>
      <c r="C389" s="33" t="s">
        <v>931</v>
      </c>
      <c r="D389" s="33" t="s">
        <v>14</v>
      </c>
      <c r="E389" s="34">
        <v>101.5</v>
      </c>
      <c r="F389" s="33" t="s">
        <v>932</v>
      </c>
    </row>
    <row r="390" ht="15.75" customHeight="1">
      <c r="A390" s="33" t="s">
        <v>67</v>
      </c>
      <c r="B390" s="33" t="s">
        <v>191</v>
      </c>
      <c r="C390" s="33" t="s">
        <v>191</v>
      </c>
      <c r="D390" s="33" t="s">
        <v>14</v>
      </c>
      <c r="E390" s="34">
        <v>456.35</v>
      </c>
      <c r="F390" s="33" t="s">
        <v>933</v>
      </c>
    </row>
    <row r="391" ht="15.75" customHeight="1">
      <c r="A391" s="33" t="s">
        <v>67</v>
      </c>
      <c r="B391" s="33" t="s">
        <v>186</v>
      </c>
      <c r="C391" s="33" t="s">
        <v>186</v>
      </c>
      <c r="D391" s="33" t="s">
        <v>18</v>
      </c>
      <c r="E391" s="34">
        <v>437.54</v>
      </c>
      <c r="F391" s="33" t="s">
        <v>934</v>
      </c>
    </row>
    <row r="392" ht="15.75" customHeight="1">
      <c r="A392" s="33" t="s">
        <v>67</v>
      </c>
      <c r="B392" s="33" t="s">
        <v>99</v>
      </c>
      <c r="C392" s="33" t="s">
        <v>99</v>
      </c>
      <c r="D392" s="33" t="s">
        <v>16</v>
      </c>
      <c r="E392" s="34">
        <v>4870.0</v>
      </c>
      <c r="F392" s="33" t="s">
        <v>935</v>
      </c>
    </row>
    <row r="393" ht="15.75" customHeight="1">
      <c r="A393" s="33" t="s">
        <v>67</v>
      </c>
      <c r="B393" s="33" t="s">
        <v>294</v>
      </c>
      <c r="C393" s="33" t="s">
        <v>638</v>
      </c>
      <c r="D393" s="33" t="s">
        <v>14</v>
      </c>
      <c r="E393" s="34">
        <v>108.3</v>
      </c>
      <c r="F393" s="33" t="s">
        <v>936</v>
      </c>
    </row>
    <row r="394" ht="15.75" customHeight="1">
      <c r="A394" s="33" t="s">
        <v>67</v>
      </c>
      <c r="B394" s="33" t="s">
        <v>128</v>
      </c>
      <c r="C394" s="33" t="s">
        <v>128</v>
      </c>
      <c r="D394" s="33" t="s">
        <v>22</v>
      </c>
      <c r="E394" s="34">
        <v>249.0</v>
      </c>
      <c r="F394" s="33" t="s">
        <v>937</v>
      </c>
    </row>
    <row r="395" ht="15.75" customHeight="1">
      <c r="A395" s="33" t="s">
        <v>67</v>
      </c>
      <c r="B395" s="33" t="s">
        <v>147</v>
      </c>
      <c r="C395" s="33" t="s">
        <v>147</v>
      </c>
      <c r="D395" s="33" t="s">
        <v>14</v>
      </c>
      <c r="E395" s="34">
        <v>250.0</v>
      </c>
      <c r="F395" s="33" t="s">
        <v>938</v>
      </c>
    </row>
    <row r="396" ht="15.75" customHeight="1">
      <c r="A396" s="33" t="s">
        <v>67</v>
      </c>
      <c r="B396" s="33" t="s">
        <v>431</v>
      </c>
      <c r="C396" s="33" t="s">
        <v>431</v>
      </c>
      <c r="D396" s="33" t="s">
        <v>14</v>
      </c>
      <c r="E396" s="34">
        <v>80.0</v>
      </c>
      <c r="F396" s="33" t="s">
        <v>939</v>
      </c>
    </row>
    <row r="397" ht="15.75" customHeight="1">
      <c r="A397" s="33" t="s">
        <v>67</v>
      </c>
      <c r="B397" s="33" t="s">
        <v>103</v>
      </c>
      <c r="C397" s="33" t="s">
        <v>103</v>
      </c>
      <c r="D397" s="33" t="s">
        <v>30</v>
      </c>
      <c r="E397" s="34">
        <v>4749.0</v>
      </c>
      <c r="F397" s="33" t="s">
        <v>714</v>
      </c>
    </row>
    <row r="398" ht="15.75" customHeight="1">
      <c r="A398" s="33" t="s">
        <v>67</v>
      </c>
      <c r="B398" s="33" t="s">
        <v>298</v>
      </c>
      <c r="C398" s="33" t="s">
        <v>594</v>
      </c>
      <c r="D398" s="33" t="s">
        <v>14</v>
      </c>
      <c r="E398" s="34">
        <v>205.56</v>
      </c>
      <c r="F398" s="33" t="s">
        <v>595</v>
      </c>
    </row>
    <row r="399" ht="15.75" customHeight="1">
      <c r="A399" s="33" t="s">
        <v>67</v>
      </c>
      <c r="B399" s="33" t="s">
        <v>97</v>
      </c>
      <c r="C399" s="33" t="s">
        <v>650</v>
      </c>
      <c r="D399" s="33" t="s">
        <v>30</v>
      </c>
      <c r="E399" s="34">
        <v>5450.0</v>
      </c>
      <c r="F399" s="33" t="s">
        <v>940</v>
      </c>
    </row>
    <row r="400" ht="15.75" customHeight="1">
      <c r="A400" s="33" t="s">
        <v>67</v>
      </c>
      <c r="B400" s="33" t="s">
        <v>161</v>
      </c>
      <c r="C400" s="33" t="s">
        <v>596</v>
      </c>
      <c r="D400" s="33" t="s">
        <v>38</v>
      </c>
      <c r="E400" s="34">
        <v>270.06</v>
      </c>
      <c r="F400" s="33" t="s">
        <v>715</v>
      </c>
    </row>
    <row r="401" ht="15.75" customHeight="1">
      <c r="A401" s="33" t="s">
        <v>67</v>
      </c>
      <c r="B401" s="33" t="s">
        <v>164</v>
      </c>
      <c r="C401" s="33" t="s">
        <v>164</v>
      </c>
      <c r="D401" s="33" t="s">
        <v>14</v>
      </c>
      <c r="E401" s="34">
        <v>350.0</v>
      </c>
      <c r="F401" s="33" t="s">
        <v>941</v>
      </c>
    </row>
    <row r="402" ht="15.75" customHeight="1">
      <c r="A402" s="33" t="s">
        <v>67</v>
      </c>
      <c r="B402" s="33" t="s">
        <v>338</v>
      </c>
      <c r="C402" s="33" t="s">
        <v>338</v>
      </c>
      <c r="D402" s="33" t="s">
        <v>16</v>
      </c>
      <c r="E402" s="34">
        <v>50.0</v>
      </c>
      <c r="F402" s="33" t="s">
        <v>720</v>
      </c>
    </row>
    <row r="403" ht="15.75" customHeight="1">
      <c r="A403" s="33" t="s">
        <v>67</v>
      </c>
      <c r="B403" s="33" t="s">
        <v>217</v>
      </c>
      <c r="C403" s="33" t="s">
        <v>217</v>
      </c>
      <c r="D403" s="33" t="s">
        <v>14</v>
      </c>
      <c r="E403" s="34">
        <v>2500.0</v>
      </c>
      <c r="F403" s="33" t="s">
        <v>942</v>
      </c>
    </row>
    <row r="404" ht="15.75" customHeight="1">
      <c r="A404" s="33" t="s">
        <v>67</v>
      </c>
      <c r="B404" s="33" t="s">
        <v>292</v>
      </c>
      <c r="C404" s="33" t="s">
        <v>292</v>
      </c>
      <c r="D404" s="33" t="s">
        <v>18</v>
      </c>
      <c r="E404" s="34">
        <v>224.07</v>
      </c>
      <c r="F404" s="33" t="s">
        <v>599</v>
      </c>
    </row>
    <row r="405" ht="15.75" customHeight="1">
      <c r="A405" s="33" t="s">
        <v>67</v>
      </c>
      <c r="B405" s="33" t="s">
        <v>163</v>
      </c>
      <c r="C405" s="33" t="s">
        <v>163</v>
      </c>
      <c r="D405" s="33" t="s">
        <v>14</v>
      </c>
      <c r="E405" s="34">
        <v>2532.72</v>
      </c>
      <c r="F405" s="33" t="s">
        <v>943</v>
      </c>
    </row>
    <row r="406" ht="15.75" customHeight="1">
      <c r="A406" s="33" t="s">
        <v>67</v>
      </c>
      <c r="B406" s="33" t="s">
        <v>328</v>
      </c>
      <c r="C406" s="33" t="s">
        <v>328</v>
      </c>
      <c r="D406" s="33" t="s">
        <v>36</v>
      </c>
      <c r="E406" s="34">
        <v>108.85</v>
      </c>
      <c r="F406" s="33" t="s">
        <v>600</v>
      </c>
    </row>
    <row r="407" ht="15.75" customHeight="1">
      <c r="A407" s="33" t="s">
        <v>68</v>
      </c>
      <c r="B407" s="33" t="s">
        <v>39</v>
      </c>
      <c r="C407" s="33" t="s">
        <v>39</v>
      </c>
      <c r="D407" s="33" t="s">
        <v>16</v>
      </c>
      <c r="E407" s="34">
        <v>234162.5</v>
      </c>
      <c r="F407" s="33" t="s">
        <v>944</v>
      </c>
    </row>
    <row r="408" ht="15.75" customHeight="1">
      <c r="A408" s="33" t="s">
        <v>68</v>
      </c>
      <c r="B408" s="33" t="s">
        <v>269</v>
      </c>
      <c r="C408" s="33" t="s">
        <v>856</v>
      </c>
      <c r="D408" s="33" t="s">
        <v>14</v>
      </c>
      <c r="E408" s="34">
        <v>200.0</v>
      </c>
      <c r="F408" s="33" t="s">
        <v>945</v>
      </c>
    </row>
    <row r="409" ht="15.75" customHeight="1">
      <c r="A409" s="33" t="s">
        <v>68</v>
      </c>
      <c r="B409" s="33" t="s">
        <v>107</v>
      </c>
      <c r="C409" s="33" t="s">
        <v>524</v>
      </c>
      <c r="D409" s="33" t="s">
        <v>26</v>
      </c>
      <c r="E409" s="34">
        <v>45925.0</v>
      </c>
      <c r="F409" s="33" t="s">
        <v>946</v>
      </c>
    </row>
    <row r="410" ht="15.75" customHeight="1">
      <c r="A410" s="33" t="s">
        <v>68</v>
      </c>
      <c r="B410" s="33" t="s">
        <v>335</v>
      </c>
      <c r="C410" s="33" t="s">
        <v>947</v>
      </c>
      <c r="D410" s="33" t="s">
        <v>14</v>
      </c>
      <c r="E410" s="34">
        <v>1290.0</v>
      </c>
      <c r="F410" s="33" t="s">
        <v>948</v>
      </c>
    </row>
    <row r="411" ht="15.75" customHeight="1">
      <c r="A411" s="33" t="s">
        <v>68</v>
      </c>
      <c r="B411" s="33" t="s">
        <v>192</v>
      </c>
      <c r="C411" s="33" t="s">
        <v>192</v>
      </c>
      <c r="D411" s="33" t="s">
        <v>14</v>
      </c>
      <c r="E411" s="34">
        <v>3098.93</v>
      </c>
      <c r="F411" s="33" t="s">
        <v>949</v>
      </c>
    </row>
    <row r="412" ht="15.75" customHeight="1">
      <c r="A412" s="33" t="s">
        <v>68</v>
      </c>
      <c r="B412" s="33" t="s">
        <v>486</v>
      </c>
      <c r="C412" s="33" t="s">
        <v>486</v>
      </c>
      <c r="D412" s="33" t="s">
        <v>14</v>
      </c>
      <c r="E412" s="34">
        <v>35.0</v>
      </c>
      <c r="F412" s="33" t="s">
        <v>950</v>
      </c>
    </row>
    <row r="413" ht="15.75" customHeight="1">
      <c r="A413" s="33" t="s">
        <v>68</v>
      </c>
      <c r="B413" s="33" t="s">
        <v>95</v>
      </c>
      <c r="C413" s="33" t="s">
        <v>538</v>
      </c>
      <c r="D413" s="33" t="s">
        <v>14</v>
      </c>
      <c r="E413" s="34">
        <v>10949.34</v>
      </c>
      <c r="F413" s="33" t="s">
        <v>951</v>
      </c>
    </row>
    <row r="414" ht="15.75" customHeight="1">
      <c r="A414" s="33" t="s">
        <v>68</v>
      </c>
      <c r="B414" s="33" t="s">
        <v>267</v>
      </c>
      <c r="C414" s="33" t="s">
        <v>671</v>
      </c>
      <c r="D414" s="33" t="s">
        <v>14</v>
      </c>
      <c r="E414" s="34">
        <v>586.27</v>
      </c>
      <c r="F414" s="33" t="s">
        <v>952</v>
      </c>
    </row>
    <row r="415" ht="15.75" customHeight="1">
      <c r="A415" s="33" t="s">
        <v>68</v>
      </c>
      <c r="B415" s="33" t="s">
        <v>293</v>
      </c>
      <c r="C415" s="33" t="s">
        <v>953</v>
      </c>
      <c r="D415" s="33" t="s">
        <v>14</v>
      </c>
      <c r="E415" s="34">
        <v>2544.0</v>
      </c>
      <c r="F415" s="33" t="s">
        <v>954</v>
      </c>
    </row>
    <row r="416" ht="15.75" customHeight="1">
      <c r="A416" s="33" t="s">
        <v>68</v>
      </c>
      <c r="B416" s="33" t="s">
        <v>291</v>
      </c>
      <c r="C416" s="33" t="s">
        <v>291</v>
      </c>
      <c r="D416" s="33" t="s">
        <v>38</v>
      </c>
      <c r="E416" s="34">
        <v>115.04</v>
      </c>
      <c r="F416" s="33" t="s">
        <v>623</v>
      </c>
    </row>
    <row r="417" ht="15.75" customHeight="1">
      <c r="A417" s="33" t="s">
        <v>68</v>
      </c>
      <c r="B417" s="33" t="s">
        <v>127</v>
      </c>
      <c r="C417" s="33" t="s">
        <v>127</v>
      </c>
      <c r="D417" s="33" t="s">
        <v>36</v>
      </c>
      <c r="E417" s="34">
        <v>233.7</v>
      </c>
      <c r="F417" s="33" t="s">
        <v>955</v>
      </c>
    </row>
    <row r="418" ht="15.75" customHeight="1">
      <c r="A418" s="33" t="s">
        <v>68</v>
      </c>
      <c r="B418" s="33" t="s">
        <v>116</v>
      </c>
      <c r="C418" s="33" t="s">
        <v>116</v>
      </c>
      <c r="D418" s="33" t="s">
        <v>20</v>
      </c>
      <c r="E418" s="34">
        <v>579.64</v>
      </c>
      <c r="F418" s="33" t="s">
        <v>956</v>
      </c>
    </row>
    <row r="419" ht="15.75" customHeight="1">
      <c r="A419" s="33" t="s">
        <v>68</v>
      </c>
      <c r="B419" s="33" t="s">
        <v>288</v>
      </c>
      <c r="C419" s="33" t="s">
        <v>675</v>
      </c>
      <c r="D419" s="33" t="s">
        <v>14</v>
      </c>
      <c r="E419" s="34">
        <v>1597.28</v>
      </c>
      <c r="F419" s="33" t="s">
        <v>957</v>
      </c>
    </row>
    <row r="420" ht="15.75" customHeight="1">
      <c r="A420" s="33" t="s">
        <v>68</v>
      </c>
      <c r="B420" s="33" t="s">
        <v>373</v>
      </c>
      <c r="C420" s="33" t="s">
        <v>958</v>
      </c>
      <c r="D420" s="33" t="s">
        <v>14</v>
      </c>
      <c r="E420" s="34">
        <v>790.0</v>
      </c>
      <c r="F420" s="33" t="s">
        <v>959</v>
      </c>
    </row>
    <row r="421" ht="15.75" customHeight="1">
      <c r="A421" s="33" t="s">
        <v>68</v>
      </c>
      <c r="B421" s="33" t="s">
        <v>380</v>
      </c>
      <c r="C421" s="33" t="s">
        <v>380</v>
      </c>
      <c r="D421" s="33" t="s">
        <v>14</v>
      </c>
      <c r="E421" s="34">
        <v>699.0</v>
      </c>
      <c r="F421" s="33" t="s">
        <v>960</v>
      </c>
    </row>
    <row r="422" ht="15.75" customHeight="1">
      <c r="A422" s="33" t="s">
        <v>68</v>
      </c>
      <c r="B422" s="33" t="s">
        <v>247</v>
      </c>
      <c r="C422" s="33" t="s">
        <v>961</v>
      </c>
      <c r="D422" s="33" t="s">
        <v>14</v>
      </c>
      <c r="E422" s="34">
        <v>88.0</v>
      </c>
      <c r="F422" s="33" t="s">
        <v>962</v>
      </c>
    </row>
    <row r="423" ht="15.75" customHeight="1">
      <c r="A423" s="33" t="s">
        <v>68</v>
      </c>
      <c r="B423" s="33" t="s">
        <v>150</v>
      </c>
      <c r="C423" s="33" t="s">
        <v>551</v>
      </c>
      <c r="D423" s="33" t="s">
        <v>26</v>
      </c>
      <c r="E423" s="34">
        <v>321.0</v>
      </c>
      <c r="F423" s="33" t="s">
        <v>963</v>
      </c>
    </row>
    <row r="424" ht="15.75" customHeight="1">
      <c r="A424" s="33" t="s">
        <v>68</v>
      </c>
      <c r="B424" s="33" t="s">
        <v>218</v>
      </c>
      <c r="C424" s="33" t="s">
        <v>553</v>
      </c>
      <c r="D424" s="33" t="s">
        <v>40</v>
      </c>
      <c r="E424" s="34">
        <v>202.75</v>
      </c>
      <c r="F424" s="33" t="s">
        <v>964</v>
      </c>
    </row>
    <row r="425" ht="15.75" customHeight="1">
      <c r="A425" s="33" t="s">
        <v>68</v>
      </c>
      <c r="B425" s="33" t="s">
        <v>196</v>
      </c>
      <c r="C425" s="33" t="s">
        <v>196</v>
      </c>
      <c r="D425" s="33" t="s">
        <v>30</v>
      </c>
      <c r="E425" s="34">
        <v>455.04</v>
      </c>
      <c r="F425" s="33" t="s">
        <v>965</v>
      </c>
    </row>
    <row r="426" ht="15.75" customHeight="1">
      <c r="A426" s="33" t="s">
        <v>68</v>
      </c>
      <c r="B426" s="33" t="s">
        <v>35</v>
      </c>
      <c r="C426" s="33" t="s">
        <v>35</v>
      </c>
      <c r="D426" s="33" t="s">
        <v>22</v>
      </c>
      <c r="E426" s="34">
        <v>5803.0</v>
      </c>
      <c r="F426" s="33" t="s">
        <v>966</v>
      </c>
    </row>
    <row r="427" ht="15.75" customHeight="1">
      <c r="A427" s="33" t="s">
        <v>68</v>
      </c>
      <c r="B427" s="33" t="s">
        <v>96</v>
      </c>
      <c r="C427" s="33" t="s">
        <v>925</v>
      </c>
      <c r="D427" s="33" t="s">
        <v>20</v>
      </c>
      <c r="E427" s="34">
        <v>3284.05</v>
      </c>
      <c r="F427" s="33" t="s">
        <v>691</v>
      </c>
    </row>
    <row r="428" ht="15.75" customHeight="1">
      <c r="A428" s="33" t="s">
        <v>68</v>
      </c>
      <c r="B428" s="33" t="s">
        <v>145</v>
      </c>
      <c r="C428" s="33" t="s">
        <v>564</v>
      </c>
      <c r="D428" s="33" t="s">
        <v>14</v>
      </c>
      <c r="E428" s="34">
        <v>750.0</v>
      </c>
      <c r="F428" s="33" t="s">
        <v>967</v>
      </c>
    </row>
    <row r="429" ht="15.75" customHeight="1">
      <c r="A429" s="33" t="s">
        <v>68</v>
      </c>
      <c r="B429" s="33" t="s">
        <v>152</v>
      </c>
      <c r="C429" s="33" t="s">
        <v>152</v>
      </c>
      <c r="D429" s="33" t="s">
        <v>18</v>
      </c>
      <c r="E429" s="34">
        <v>2022.5</v>
      </c>
      <c r="F429" s="33" t="s">
        <v>968</v>
      </c>
    </row>
    <row r="430" ht="15.75" customHeight="1">
      <c r="A430" s="33" t="s">
        <v>68</v>
      </c>
      <c r="B430" s="33" t="s">
        <v>153</v>
      </c>
      <c r="C430" s="33" t="s">
        <v>153</v>
      </c>
      <c r="D430" s="33" t="s">
        <v>14</v>
      </c>
      <c r="E430" s="34">
        <v>2022.5</v>
      </c>
      <c r="F430" s="33" t="s">
        <v>968</v>
      </c>
    </row>
    <row r="431" ht="15.75" customHeight="1">
      <c r="A431" s="33" t="s">
        <v>68</v>
      </c>
      <c r="B431" s="33" t="s">
        <v>104</v>
      </c>
      <c r="C431" s="33" t="s">
        <v>969</v>
      </c>
      <c r="D431" s="33" t="s">
        <v>18</v>
      </c>
      <c r="E431" s="34">
        <v>89674.0</v>
      </c>
      <c r="F431" s="33" t="s">
        <v>970</v>
      </c>
    </row>
    <row r="432" ht="15.75" customHeight="1">
      <c r="A432" s="33" t="s">
        <v>68</v>
      </c>
      <c r="B432" s="33" t="s">
        <v>93</v>
      </c>
      <c r="C432" s="33" t="s">
        <v>93</v>
      </c>
      <c r="D432" s="33" t="s">
        <v>16</v>
      </c>
      <c r="E432" s="34">
        <v>429.0</v>
      </c>
      <c r="F432" s="33" t="s">
        <v>971</v>
      </c>
    </row>
    <row r="433" ht="15.75" customHeight="1">
      <c r="A433" s="33" t="s">
        <v>68</v>
      </c>
      <c r="B433" s="33" t="s">
        <v>398</v>
      </c>
      <c r="C433" s="33" t="s">
        <v>398</v>
      </c>
      <c r="D433" s="33" t="s">
        <v>14</v>
      </c>
      <c r="E433" s="34">
        <v>285.0</v>
      </c>
      <c r="F433" s="33" t="s">
        <v>972</v>
      </c>
    </row>
    <row r="434" ht="15.75" customHeight="1">
      <c r="A434" s="33" t="s">
        <v>68</v>
      </c>
      <c r="B434" s="33" t="s">
        <v>191</v>
      </c>
      <c r="C434" s="33" t="s">
        <v>191</v>
      </c>
      <c r="D434" s="33" t="s">
        <v>14</v>
      </c>
      <c r="E434" s="34">
        <v>646.0</v>
      </c>
      <c r="F434" s="33" t="s">
        <v>933</v>
      </c>
    </row>
    <row r="435" ht="15.75" customHeight="1">
      <c r="A435" s="33" t="s">
        <v>68</v>
      </c>
      <c r="B435" s="33" t="s">
        <v>186</v>
      </c>
      <c r="C435" s="33" t="s">
        <v>186</v>
      </c>
      <c r="D435" s="33" t="s">
        <v>18</v>
      </c>
      <c r="E435" s="34">
        <v>571.79</v>
      </c>
      <c r="F435" s="33" t="s">
        <v>973</v>
      </c>
    </row>
    <row r="436" ht="15.75" customHeight="1">
      <c r="A436" s="33" t="s">
        <v>68</v>
      </c>
      <c r="B436" s="33" t="s">
        <v>410</v>
      </c>
      <c r="C436" s="33" t="s">
        <v>577</v>
      </c>
      <c r="D436" s="33" t="s">
        <v>14</v>
      </c>
      <c r="E436" s="34">
        <v>47.83</v>
      </c>
      <c r="F436" s="33" t="s">
        <v>578</v>
      </c>
    </row>
    <row r="437" ht="15.75" customHeight="1">
      <c r="A437" s="33" t="s">
        <v>68</v>
      </c>
      <c r="B437" s="33" t="s">
        <v>197</v>
      </c>
      <c r="C437" s="33" t="s">
        <v>197</v>
      </c>
      <c r="D437" s="33" t="s">
        <v>14</v>
      </c>
      <c r="E437" s="34">
        <v>775.61</v>
      </c>
      <c r="F437" s="33" t="s">
        <v>974</v>
      </c>
    </row>
    <row r="438" ht="15.75" customHeight="1">
      <c r="A438" s="33" t="s">
        <v>68</v>
      </c>
      <c r="B438" s="33" t="s">
        <v>125</v>
      </c>
      <c r="C438" s="33" t="s">
        <v>587</v>
      </c>
      <c r="D438" s="33" t="s">
        <v>20</v>
      </c>
      <c r="E438" s="34">
        <v>16940.0</v>
      </c>
      <c r="F438" s="33" t="s">
        <v>975</v>
      </c>
    </row>
    <row r="439" ht="15.75" customHeight="1">
      <c r="A439" s="33" t="s">
        <v>68</v>
      </c>
      <c r="B439" s="33" t="s">
        <v>97</v>
      </c>
      <c r="C439" s="33" t="s">
        <v>650</v>
      </c>
      <c r="D439" s="33" t="s">
        <v>30</v>
      </c>
      <c r="E439" s="34">
        <v>13.0</v>
      </c>
      <c r="F439" s="33" t="s">
        <v>651</v>
      </c>
    </row>
    <row r="440" ht="15.75" customHeight="1">
      <c r="A440" s="33" t="s">
        <v>68</v>
      </c>
      <c r="B440" s="33" t="s">
        <v>161</v>
      </c>
      <c r="C440" s="33" t="s">
        <v>596</v>
      </c>
      <c r="D440" s="33" t="s">
        <v>38</v>
      </c>
      <c r="E440" s="34">
        <v>270.06</v>
      </c>
      <c r="F440" s="33" t="s">
        <v>976</v>
      </c>
    </row>
    <row r="441" ht="15.75" customHeight="1">
      <c r="A441" s="33" t="s">
        <v>68</v>
      </c>
      <c r="B441" s="33" t="s">
        <v>217</v>
      </c>
      <c r="C441" s="33" t="s">
        <v>217</v>
      </c>
      <c r="D441" s="33" t="s">
        <v>14</v>
      </c>
      <c r="E441" s="34">
        <v>2500.0</v>
      </c>
      <c r="F441" s="33" t="s">
        <v>942</v>
      </c>
    </row>
    <row r="442" ht="15.75" customHeight="1">
      <c r="A442" s="33" t="s">
        <v>68</v>
      </c>
      <c r="B442" s="33" t="s">
        <v>316</v>
      </c>
      <c r="C442" s="33" t="s">
        <v>316</v>
      </c>
      <c r="D442" s="33" t="s">
        <v>20</v>
      </c>
      <c r="E442" s="34">
        <v>315.0</v>
      </c>
      <c r="F442" s="33" t="s">
        <v>977</v>
      </c>
    </row>
    <row r="443" ht="15.75" customHeight="1">
      <c r="A443" s="33" t="s">
        <v>68</v>
      </c>
      <c r="B443" s="33" t="s">
        <v>356</v>
      </c>
      <c r="C443" s="33" t="s">
        <v>356</v>
      </c>
      <c r="D443" s="33" t="s">
        <v>14</v>
      </c>
      <c r="E443" s="34">
        <v>119.0</v>
      </c>
      <c r="F443" s="33" t="s">
        <v>978</v>
      </c>
    </row>
    <row r="444" ht="15.75" customHeight="1">
      <c r="A444" s="33" t="s">
        <v>68</v>
      </c>
      <c r="B444" s="33" t="s">
        <v>164</v>
      </c>
      <c r="C444" s="33" t="s">
        <v>164</v>
      </c>
      <c r="D444" s="33" t="s">
        <v>14</v>
      </c>
      <c r="E444" s="34">
        <v>5000.0</v>
      </c>
      <c r="F444" s="33" t="s">
        <v>979</v>
      </c>
    </row>
    <row r="445" ht="15.75" customHeight="1">
      <c r="A445" s="33" t="s">
        <v>68</v>
      </c>
      <c r="B445" s="33" t="s">
        <v>266</v>
      </c>
      <c r="C445" s="33" t="s">
        <v>980</v>
      </c>
      <c r="D445" s="33" t="s">
        <v>14</v>
      </c>
      <c r="E445" s="34">
        <v>3599.99</v>
      </c>
      <c r="F445" s="33" t="s">
        <v>981</v>
      </c>
    </row>
    <row r="446" ht="15.75" customHeight="1">
      <c r="A446" s="33" t="s">
        <v>68</v>
      </c>
      <c r="B446" s="33" t="s">
        <v>122</v>
      </c>
      <c r="C446" s="33" t="s">
        <v>529</v>
      </c>
      <c r="D446" s="33" t="s">
        <v>20</v>
      </c>
      <c r="E446" s="34">
        <v>461.5</v>
      </c>
      <c r="F446" s="33" t="s">
        <v>982</v>
      </c>
    </row>
    <row r="447" ht="15.75" customHeight="1">
      <c r="A447" s="33" t="s">
        <v>68</v>
      </c>
      <c r="B447" s="33" t="s">
        <v>94</v>
      </c>
      <c r="C447" s="33" t="s">
        <v>619</v>
      </c>
      <c r="D447" s="33" t="s">
        <v>22</v>
      </c>
      <c r="E447" s="34">
        <v>17442.5</v>
      </c>
      <c r="F447" s="33" t="s">
        <v>983</v>
      </c>
    </row>
    <row r="448" ht="15.75" customHeight="1">
      <c r="A448" s="33" t="s">
        <v>68</v>
      </c>
      <c r="B448" s="33" t="s">
        <v>366</v>
      </c>
      <c r="C448" s="33" t="s">
        <v>366</v>
      </c>
      <c r="D448" s="33" t="s">
        <v>38</v>
      </c>
      <c r="E448" s="34">
        <v>146.38</v>
      </c>
      <c r="F448" s="33" t="s">
        <v>984</v>
      </c>
    </row>
    <row r="449" ht="15.75" customHeight="1">
      <c r="A449" s="33" t="s">
        <v>68</v>
      </c>
      <c r="B449" s="33" t="s">
        <v>214</v>
      </c>
      <c r="C449" s="33" t="s">
        <v>214</v>
      </c>
      <c r="D449" s="33" t="s">
        <v>14</v>
      </c>
      <c r="E449" s="34">
        <v>390.0</v>
      </c>
      <c r="F449" s="33" t="s">
        <v>624</v>
      </c>
    </row>
    <row r="450" ht="15.75" customHeight="1">
      <c r="A450" s="33" t="s">
        <v>68</v>
      </c>
      <c r="B450" s="33" t="s">
        <v>177</v>
      </c>
      <c r="C450" s="33" t="s">
        <v>177</v>
      </c>
      <c r="D450" s="33" t="s">
        <v>14</v>
      </c>
      <c r="E450" s="34">
        <v>1500.0</v>
      </c>
      <c r="F450" s="33" t="s">
        <v>985</v>
      </c>
    </row>
    <row r="451" ht="15.75" customHeight="1">
      <c r="A451" s="33" t="s">
        <v>68</v>
      </c>
      <c r="B451" s="33" t="s">
        <v>250</v>
      </c>
      <c r="C451" s="33" t="s">
        <v>250</v>
      </c>
      <c r="D451" s="33" t="s">
        <v>14</v>
      </c>
      <c r="E451" s="34">
        <v>498.0</v>
      </c>
      <c r="F451" s="33" t="s">
        <v>986</v>
      </c>
    </row>
    <row r="452" ht="15.75" customHeight="1">
      <c r="A452" s="33" t="s">
        <v>68</v>
      </c>
      <c r="B452" s="33" t="s">
        <v>368</v>
      </c>
      <c r="C452" s="33" t="s">
        <v>368</v>
      </c>
      <c r="D452" s="33" t="s">
        <v>14</v>
      </c>
      <c r="E452" s="34">
        <v>498.0</v>
      </c>
      <c r="F452" s="33" t="s">
        <v>987</v>
      </c>
    </row>
    <row r="453" ht="15.75" customHeight="1">
      <c r="A453" s="33" t="s">
        <v>68</v>
      </c>
      <c r="B453" s="33" t="s">
        <v>39</v>
      </c>
      <c r="C453" s="33" t="s">
        <v>39</v>
      </c>
      <c r="D453" s="33" t="s">
        <v>16</v>
      </c>
      <c r="E453" s="34">
        <v>661.22</v>
      </c>
      <c r="F453" s="33" t="s">
        <v>988</v>
      </c>
    </row>
    <row r="454" ht="15.75" customHeight="1">
      <c r="A454" s="33" t="s">
        <v>68</v>
      </c>
      <c r="B454" s="33" t="s">
        <v>39</v>
      </c>
      <c r="C454" s="33" t="s">
        <v>39</v>
      </c>
      <c r="D454" s="33" t="s">
        <v>16</v>
      </c>
      <c r="E454" s="34">
        <v>2400.51</v>
      </c>
      <c r="F454" s="33" t="s">
        <v>989</v>
      </c>
    </row>
    <row r="455" ht="15.75" customHeight="1">
      <c r="A455" s="33" t="s">
        <v>68</v>
      </c>
      <c r="B455" s="33" t="s">
        <v>33</v>
      </c>
      <c r="C455" s="33" t="s">
        <v>785</v>
      </c>
      <c r="D455" s="33" t="s">
        <v>22</v>
      </c>
      <c r="E455" s="34">
        <v>36414.02</v>
      </c>
      <c r="F455" s="33" t="s">
        <v>990</v>
      </c>
    </row>
    <row r="456" ht="15.75" customHeight="1">
      <c r="A456" s="33" t="s">
        <v>68</v>
      </c>
      <c r="B456" s="33" t="s">
        <v>169</v>
      </c>
      <c r="C456" s="33" t="s">
        <v>169</v>
      </c>
      <c r="D456" s="33" t="s">
        <v>14</v>
      </c>
      <c r="E456" s="34">
        <v>13659.88</v>
      </c>
      <c r="F456" s="33" t="s">
        <v>991</v>
      </c>
    </row>
    <row r="457" ht="15.75" customHeight="1">
      <c r="A457" s="33" t="s">
        <v>68</v>
      </c>
      <c r="B457" s="33" t="s">
        <v>329</v>
      </c>
      <c r="C457" s="33" t="s">
        <v>329</v>
      </c>
      <c r="D457" s="33" t="s">
        <v>14</v>
      </c>
      <c r="E457" s="34">
        <v>133.0</v>
      </c>
      <c r="F457" s="33" t="s">
        <v>648</v>
      </c>
    </row>
    <row r="458" ht="15.75" customHeight="1">
      <c r="A458" s="33" t="s">
        <v>68</v>
      </c>
      <c r="B458" s="33" t="s">
        <v>351</v>
      </c>
      <c r="C458" s="33" t="s">
        <v>351</v>
      </c>
      <c r="D458" s="33" t="s">
        <v>38</v>
      </c>
      <c r="E458" s="34">
        <v>88.37</v>
      </c>
      <c r="F458" s="33" t="s">
        <v>992</v>
      </c>
    </row>
    <row r="459" ht="15.75" customHeight="1">
      <c r="A459" s="33" t="s">
        <v>68</v>
      </c>
      <c r="B459" s="33" t="s">
        <v>285</v>
      </c>
      <c r="C459" s="33" t="s">
        <v>993</v>
      </c>
      <c r="D459" s="33" t="s">
        <v>18</v>
      </c>
      <c r="E459" s="34">
        <v>2715.0</v>
      </c>
      <c r="F459" s="33" t="s">
        <v>994</v>
      </c>
    </row>
    <row r="460" ht="15.75" customHeight="1">
      <c r="A460" s="33" t="s">
        <v>68</v>
      </c>
      <c r="B460" s="33" t="s">
        <v>150</v>
      </c>
      <c r="C460" s="33" t="s">
        <v>551</v>
      </c>
      <c r="D460" s="33" t="s">
        <v>26</v>
      </c>
      <c r="E460" s="34">
        <v>416.0</v>
      </c>
      <c r="F460" s="33" t="s">
        <v>995</v>
      </c>
    </row>
    <row r="461" ht="15.75" customHeight="1">
      <c r="A461" s="33" t="s">
        <v>68</v>
      </c>
      <c r="B461" s="33" t="s">
        <v>124</v>
      </c>
      <c r="C461" s="33" t="s">
        <v>557</v>
      </c>
      <c r="D461" s="33" t="s">
        <v>14</v>
      </c>
      <c r="E461" s="34">
        <v>4946.31</v>
      </c>
      <c r="F461" s="33" t="s">
        <v>996</v>
      </c>
    </row>
    <row r="462" ht="15.75" customHeight="1">
      <c r="A462" s="33" t="s">
        <v>68</v>
      </c>
      <c r="B462" s="33" t="s">
        <v>196</v>
      </c>
      <c r="C462" s="33" t="s">
        <v>196</v>
      </c>
      <c r="D462" s="33" t="s">
        <v>30</v>
      </c>
      <c r="E462" s="34">
        <v>530.64</v>
      </c>
      <c r="F462" s="33" t="s">
        <v>997</v>
      </c>
    </row>
    <row r="463" ht="15.75" customHeight="1">
      <c r="A463" s="33" t="s">
        <v>68</v>
      </c>
      <c r="B463" s="33" t="s">
        <v>290</v>
      </c>
      <c r="C463" s="33" t="s">
        <v>568</v>
      </c>
      <c r="D463" s="33" t="s">
        <v>14</v>
      </c>
      <c r="E463" s="34">
        <v>255.0</v>
      </c>
      <c r="F463" s="33" t="s">
        <v>998</v>
      </c>
    </row>
    <row r="464" ht="15.75" customHeight="1">
      <c r="A464" s="33" t="s">
        <v>68</v>
      </c>
      <c r="B464" s="33" t="s">
        <v>318</v>
      </c>
      <c r="C464" s="33" t="s">
        <v>318</v>
      </c>
      <c r="D464" s="33" t="s">
        <v>20</v>
      </c>
      <c r="E464" s="34">
        <v>1500.0</v>
      </c>
      <c r="F464" s="33" t="s">
        <v>999</v>
      </c>
    </row>
    <row r="465" ht="15.75" customHeight="1">
      <c r="A465" s="33" t="s">
        <v>68</v>
      </c>
      <c r="B465" s="33" t="s">
        <v>165</v>
      </c>
      <c r="C465" s="33" t="s">
        <v>808</v>
      </c>
      <c r="D465" s="33" t="s">
        <v>14</v>
      </c>
      <c r="E465" s="34">
        <v>2986.0</v>
      </c>
      <c r="F465" s="33" t="s">
        <v>1000</v>
      </c>
    </row>
    <row r="466" ht="15.75" customHeight="1">
      <c r="A466" s="33" t="s">
        <v>68</v>
      </c>
      <c r="B466" s="33" t="s">
        <v>186</v>
      </c>
      <c r="C466" s="33" t="s">
        <v>186</v>
      </c>
      <c r="D466" s="33" t="s">
        <v>18</v>
      </c>
      <c r="E466" s="34">
        <v>407.96</v>
      </c>
      <c r="F466" s="33" t="s">
        <v>1001</v>
      </c>
    </row>
    <row r="467" ht="15.75" customHeight="1">
      <c r="A467" s="33" t="s">
        <v>68</v>
      </c>
      <c r="B467" s="33" t="s">
        <v>99</v>
      </c>
      <c r="C467" s="33" t="s">
        <v>99</v>
      </c>
      <c r="D467" s="33" t="s">
        <v>16</v>
      </c>
      <c r="E467" s="34">
        <v>5020.0</v>
      </c>
      <c r="F467" s="33" t="s">
        <v>1002</v>
      </c>
    </row>
    <row r="468" ht="15.75" customHeight="1">
      <c r="A468" s="33" t="s">
        <v>68</v>
      </c>
      <c r="B468" s="33" t="s">
        <v>384</v>
      </c>
      <c r="C468" s="33" t="s">
        <v>640</v>
      </c>
      <c r="D468" s="33" t="s">
        <v>14</v>
      </c>
      <c r="E468" s="34">
        <v>76.0</v>
      </c>
      <c r="F468" s="33" t="s">
        <v>641</v>
      </c>
    </row>
    <row r="469" ht="15.75" customHeight="1">
      <c r="A469" s="33" t="s">
        <v>68</v>
      </c>
      <c r="B469" s="33" t="s">
        <v>424</v>
      </c>
      <c r="C469" s="33" t="s">
        <v>1003</v>
      </c>
      <c r="D469" s="33" t="s">
        <v>14</v>
      </c>
      <c r="E469" s="34">
        <v>372.0</v>
      </c>
      <c r="F469" s="33" t="s">
        <v>1004</v>
      </c>
    </row>
    <row r="470" ht="15.75" customHeight="1">
      <c r="A470" s="33" t="s">
        <v>68</v>
      </c>
      <c r="B470" s="33" t="s">
        <v>233</v>
      </c>
      <c r="C470" s="33" t="s">
        <v>583</v>
      </c>
      <c r="D470" s="33" t="s">
        <v>14</v>
      </c>
      <c r="E470" s="34">
        <v>57.86</v>
      </c>
      <c r="F470" s="33" t="s">
        <v>1005</v>
      </c>
    </row>
    <row r="471" ht="15.75" customHeight="1">
      <c r="A471" s="33" t="s">
        <v>68</v>
      </c>
      <c r="B471" s="33" t="s">
        <v>276</v>
      </c>
      <c r="C471" s="33" t="s">
        <v>1006</v>
      </c>
      <c r="D471" s="33" t="s">
        <v>14</v>
      </c>
      <c r="E471" s="34">
        <v>1137.16</v>
      </c>
      <c r="F471" s="33" t="s">
        <v>1007</v>
      </c>
    </row>
    <row r="472" ht="15.75" customHeight="1">
      <c r="A472" s="33" t="s">
        <v>68</v>
      </c>
      <c r="B472" s="33" t="s">
        <v>125</v>
      </c>
      <c r="C472" s="33" t="s">
        <v>587</v>
      </c>
      <c r="D472" s="33" t="s">
        <v>20</v>
      </c>
      <c r="E472" s="34">
        <v>966.0</v>
      </c>
      <c r="F472" s="33" t="s">
        <v>1008</v>
      </c>
    </row>
    <row r="473" ht="15.75" customHeight="1">
      <c r="A473" s="33" t="s">
        <v>68</v>
      </c>
      <c r="B473" s="33" t="s">
        <v>103</v>
      </c>
      <c r="C473" s="33" t="s">
        <v>103</v>
      </c>
      <c r="D473" s="33" t="s">
        <v>30</v>
      </c>
      <c r="E473" s="34">
        <v>1471.7</v>
      </c>
      <c r="F473" s="33" t="s">
        <v>1009</v>
      </c>
    </row>
    <row r="474" ht="15.75" customHeight="1">
      <c r="A474" s="33" t="s">
        <v>68</v>
      </c>
      <c r="B474" s="33" t="s">
        <v>161</v>
      </c>
      <c r="C474" s="33" t="s">
        <v>596</v>
      </c>
      <c r="D474" s="33" t="s">
        <v>38</v>
      </c>
      <c r="E474" s="34">
        <v>194.06</v>
      </c>
      <c r="F474" s="33" t="s">
        <v>1010</v>
      </c>
    </row>
    <row r="475" ht="15.75" customHeight="1">
      <c r="A475" s="33" t="s">
        <v>68</v>
      </c>
      <c r="B475" s="33" t="s">
        <v>179</v>
      </c>
      <c r="C475" s="33" t="s">
        <v>716</v>
      </c>
      <c r="D475" s="33" t="s">
        <v>14</v>
      </c>
      <c r="E475" s="34">
        <v>386.61</v>
      </c>
      <c r="F475" s="33" t="s">
        <v>717</v>
      </c>
    </row>
    <row r="476" ht="15.75" customHeight="1">
      <c r="A476" s="33" t="s">
        <v>68</v>
      </c>
      <c r="B476" s="33" t="s">
        <v>338</v>
      </c>
      <c r="C476" s="33" t="s">
        <v>338</v>
      </c>
      <c r="D476" s="33" t="s">
        <v>16</v>
      </c>
      <c r="E476" s="34">
        <v>50.0</v>
      </c>
      <c r="F476" s="33" t="s">
        <v>1011</v>
      </c>
    </row>
    <row r="477" ht="15.75" customHeight="1">
      <c r="A477" s="33" t="s">
        <v>68</v>
      </c>
      <c r="B477" s="33" t="s">
        <v>242</v>
      </c>
      <c r="C477" s="33" t="s">
        <v>242</v>
      </c>
      <c r="D477" s="33" t="s">
        <v>36</v>
      </c>
      <c r="E477" s="34">
        <v>719.63</v>
      </c>
      <c r="F477" s="33" t="s">
        <v>601</v>
      </c>
    </row>
    <row r="478" ht="15.75" customHeight="1">
      <c r="A478" s="33" t="s">
        <v>68</v>
      </c>
      <c r="B478" s="33" t="s">
        <v>246</v>
      </c>
      <c r="C478" s="33" t="s">
        <v>246</v>
      </c>
      <c r="D478" s="33" t="s">
        <v>42</v>
      </c>
      <c r="E478" s="34">
        <v>160.0</v>
      </c>
      <c r="F478" s="33" t="s">
        <v>1012</v>
      </c>
    </row>
    <row r="479" ht="15.75" customHeight="1">
      <c r="A479" s="33" t="s">
        <v>68</v>
      </c>
      <c r="B479" s="33" t="s">
        <v>91</v>
      </c>
      <c r="C479" s="33" t="s">
        <v>91</v>
      </c>
      <c r="D479" s="33" t="s">
        <v>32</v>
      </c>
      <c r="E479" s="34">
        <v>12079.2</v>
      </c>
      <c r="F479" s="33" t="s">
        <v>1013</v>
      </c>
    </row>
    <row r="480" ht="15.75" customHeight="1">
      <c r="A480" s="33" t="s">
        <v>68</v>
      </c>
      <c r="B480" s="33" t="s">
        <v>119</v>
      </c>
      <c r="C480" s="33" t="s">
        <v>119</v>
      </c>
      <c r="D480" s="33" t="s">
        <v>14</v>
      </c>
      <c r="E480" s="34">
        <v>1171.47</v>
      </c>
      <c r="F480" s="33" t="s">
        <v>656</v>
      </c>
    </row>
    <row r="481" ht="15.75" customHeight="1">
      <c r="A481" s="33" t="s">
        <v>69</v>
      </c>
      <c r="B481" s="33" t="s">
        <v>183</v>
      </c>
      <c r="C481" s="33" t="s">
        <v>183</v>
      </c>
      <c r="D481" s="33" t="s">
        <v>16</v>
      </c>
      <c r="E481" s="34">
        <v>615.82</v>
      </c>
      <c r="F481" s="33" t="s">
        <v>610</v>
      </c>
    </row>
    <row r="482" ht="15.75" customHeight="1">
      <c r="A482" s="33" t="s">
        <v>69</v>
      </c>
      <c r="B482" s="33" t="s">
        <v>102</v>
      </c>
      <c r="C482" s="33" t="s">
        <v>615</v>
      </c>
      <c r="D482" s="33" t="s">
        <v>14</v>
      </c>
      <c r="E482" s="34">
        <v>15035.42</v>
      </c>
      <c r="F482" s="33" t="s">
        <v>616</v>
      </c>
    </row>
    <row r="483" ht="15.75" customHeight="1">
      <c r="A483" s="33" t="s">
        <v>69</v>
      </c>
      <c r="B483" s="33" t="s">
        <v>19</v>
      </c>
      <c r="C483" s="33" t="s">
        <v>19</v>
      </c>
      <c r="D483" s="33" t="s">
        <v>16</v>
      </c>
      <c r="E483" s="34">
        <v>86430.94</v>
      </c>
      <c r="F483" s="33" t="s">
        <v>1014</v>
      </c>
    </row>
    <row r="484" ht="15.75" customHeight="1">
      <c r="A484" s="33" t="s">
        <v>69</v>
      </c>
      <c r="B484" s="33" t="s">
        <v>192</v>
      </c>
      <c r="C484" s="33" t="s">
        <v>192</v>
      </c>
      <c r="D484" s="33" t="s">
        <v>14</v>
      </c>
      <c r="E484" s="34">
        <v>1094.82</v>
      </c>
      <c r="F484" s="33" t="s">
        <v>1015</v>
      </c>
    </row>
    <row r="485" ht="15.75" customHeight="1">
      <c r="A485" s="33" t="s">
        <v>69</v>
      </c>
      <c r="B485" s="33" t="s">
        <v>231</v>
      </c>
      <c r="C485" s="33" t="s">
        <v>1016</v>
      </c>
      <c r="D485" s="33" t="s">
        <v>14</v>
      </c>
      <c r="E485" s="34">
        <v>5600.0</v>
      </c>
      <c r="F485" s="33" t="s">
        <v>1017</v>
      </c>
    </row>
    <row r="486" ht="15.75" customHeight="1">
      <c r="A486" s="33" t="s">
        <v>69</v>
      </c>
      <c r="B486" s="33" t="s">
        <v>448</v>
      </c>
      <c r="C486" s="33" t="s">
        <v>448</v>
      </c>
      <c r="D486" s="33" t="s">
        <v>14</v>
      </c>
      <c r="E486" s="34">
        <v>101.0</v>
      </c>
      <c r="F486" s="33" t="s">
        <v>1018</v>
      </c>
    </row>
    <row r="487" ht="15.75" customHeight="1">
      <c r="A487" s="33" t="s">
        <v>69</v>
      </c>
      <c r="B487" s="33" t="s">
        <v>457</v>
      </c>
      <c r="C487" s="33" t="s">
        <v>457</v>
      </c>
      <c r="D487" s="33" t="s">
        <v>14</v>
      </c>
      <c r="E487" s="34">
        <v>180.7</v>
      </c>
      <c r="F487" s="33" t="s">
        <v>1019</v>
      </c>
    </row>
    <row r="488" ht="15.75" customHeight="1">
      <c r="A488" s="33" t="s">
        <v>69</v>
      </c>
      <c r="B488" s="33" t="s">
        <v>113</v>
      </c>
      <c r="C488" s="33" t="s">
        <v>540</v>
      </c>
      <c r="D488" s="33" t="s">
        <v>14</v>
      </c>
      <c r="E488" s="34">
        <v>2119.14</v>
      </c>
      <c r="F488" s="33" t="s">
        <v>1020</v>
      </c>
    </row>
    <row r="489" ht="15.75" customHeight="1">
      <c r="A489" s="33" t="s">
        <v>69</v>
      </c>
      <c r="B489" s="33" t="s">
        <v>127</v>
      </c>
      <c r="C489" s="33" t="s">
        <v>127</v>
      </c>
      <c r="D489" s="33" t="s">
        <v>36</v>
      </c>
      <c r="E489" s="34">
        <v>40.26</v>
      </c>
      <c r="F489" s="33" t="s">
        <v>1021</v>
      </c>
    </row>
    <row r="490" ht="15.75" customHeight="1">
      <c r="A490" s="33" t="s">
        <v>69</v>
      </c>
      <c r="B490" s="33" t="s">
        <v>33</v>
      </c>
      <c r="C490" s="33" t="s">
        <v>785</v>
      </c>
      <c r="D490" s="33" t="s">
        <v>22</v>
      </c>
      <c r="E490" s="34">
        <v>305.0</v>
      </c>
      <c r="F490" s="33" t="s">
        <v>1022</v>
      </c>
    </row>
    <row r="491" ht="15.75" customHeight="1">
      <c r="A491" s="33" t="s">
        <v>69</v>
      </c>
      <c r="B491" s="33" t="s">
        <v>247</v>
      </c>
      <c r="C491" s="33" t="s">
        <v>961</v>
      </c>
      <c r="D491" s="33" t="s">
        <v>14</v>
      </c>
      <c r="E491" s="34">
        <v>134.0</v>
      </c>
      <c r="F491" s="33" t="s">
        <v>1023</v>
      </c>
    </row>
    <row r="492" ht="15.75" customHeight="1">
      <c r="A492" s="33" t="s">
        <v>69</v>
      </c>
      <c r="B492" s="33" t="s">
        <v>399</v>
      </c>
      <c r="C492" s="33" t="s">
        <v>399</v>
      </c>
      <c r="D492" s="33" t="s">
        <v>14</v>
      </c>
      <c r="E492" s="34">
        <v>300.0</v>
      </c>
      <c r="F492" s="33" t="s">
        <v>1024</v>
      </c>
    </row>
    <row r="493" ht="15.75" customHeight="1">
      <c r="A493" s="33" t="s">
        <v>69</v>
      </c>
      <c r="B493" s="33" t="s">
        <v>150</v>
      </c>
      <c r="C493" s="33" t="s">
        <v>551</v>
      </c>
      <c r="D493" s="33" t="s">
        <v>26</v>
      </c>
      <c r="E493" s="34">
        <v>1674.0</v>
      </c>
      <c r="F493" s="33" t="s">
        <v>1025</v>
      </c>
    </row>
    <row r="494" ht="15.75" customHeight="1">
      <c r="A494" s="33" t="s">
        <v>69</v>
      </c>
      <c r="B494" s="33" t="s">
        <v>248</v>
      </c>
      <c r="C494" s="33" t="s">
        <v>248</v>
      </c>
      <c r="D494" s="33" t="s">
        <v>14</v>
      </c>
      <c r="E494" s="34">
        <v>2579.25</v>
      </c>
      <c r="F494" s="33" t="s">
        <v>1026</v>
      </c>
    </row>
    <row r="495" ht="15.75" customHeight="1">
      <c r="A495" s="33" t="s">
        <v>69</v>
      </c>
      <c r="B495" s="33" t="s">
        <v>117</v>
      </c>
      <c r="C495" s="33" t="s">
        <v>117</v>
      </c>
      <c r="D495" s="33" t="s">
        <v>14</v>
      </c>
      <c r="E495" s="34">
        <v>1197.0</v>
      </c>
      <c r="F495" s="33" t="s">
        <v>1027</v>
      </c>
    </row>
    <row r="496" ht="15.75" customHeight="1">
      <c r="A496" s="33" t="s">
        <v>69</v>
      </c>
      <c r="B496" s="33" t="s">
        <v>343</v>
      </c>
      <c r="C496" s="33" t="s">
        <v>343</v>
      </c>
      <c r="D496" s="33" t="s">
        <v>14</v>
      </c>
      <c r="E496" s="34">
        <v>555.07</v>
      </c>
      <c r="F496" s="33" t="s">
        <v>722</v>
      </c>
    </row>
    <row r="497" ht="15.75" customHeight="1">
      <c r="A497" s="33" t="s">
        <v>69</v>
      </c>
      <c r="B497" s="33" t="s">
        <v>342</v>
      </c>
      <c r="C497" s="33" t="s">
        <v>1028</v>
      </c>
      <c r="D497" s="33" t="s">
        <v>14</v>
      </c>
      <c r="E497" s="34">
        <v>1178.0</v>
      </c>
      <c r="F497" s="33" t="s">
        <v>1029</v>
      </c>
    </row>
    <row r="498" ht="15.75" customHeight="1">
      <c r="A498" s="33" t="s">
        <v>69</v>
      </c>
      <c r="B498" s="33" t="s">
        <v>96</v>
      </c>
      <c r="C498" s="33" t="s">
        <v>925</v>
      </c>
      <c r="D498" s="33" t="s">
        <v>20</v>
      </c>
      <c r="E498" s="34">
        <v>3311.0</v>
      </c>
      <c r="F498" s="33" t="s">
        <v>691</v>
      </c>
    </row>
    <row r="499" ht="15.75" customHeight="1">
      <c r="A499" s="33" t="s">
        <v>69</v>
      </c>
      <c r="B499" s="33" t="s">
        <v>336</v>
      </c>
      <c r="C499" s="33" t="s">
        <v>336</v>
      </c>
      <c r="D499" s="33" t="s">
        <v>14</v>
      </c>
      <c r="E499" s="34">
        <v>500.0</v>
      </c>
      <c r="F499" s="33" t="s">
        <v>1030</v>
      </c>
    </row>
    <row r="500" ht="15.75" customHeight="1">
      <c r="A500" s="33" t="s">
        <v>69</v>
      </c>
      <c r="B500" s="33" t="s">
        <v>487</v>
      </c>
      <c r="C500" s="33" t="s">
        <v>487</v>
      </c>
      <c r="D500" s="33" t="s">
        <v>14</v>
      </c>
      <c r="E500" s="34">
        <v>35.0</v>
      </c>
      <c r="F500" s="33" t="s">
        <v>950</v>
      </c>
    </row>
    <row r="501" ht="15.75" customHeight="1">
      <c r="A501" s="33" t="s">
        <v>69</v>
      </c>
      <c r="B501" s="33" t="s">
        <v>470</v>
      </c>
      <c r="C501" s="33" t="s">
        <v>470</v>
      </c>
      <c r="D501" s="33" t="s">
        <v>14</v>
      </c>
      <c r="E501" s="34">
        <v>100.0</v>
      </c>
      <c r="F501" s="33" t="s">
        <v>1031</v>
      </c>
    </row>
    <row r="502" ht="15.75" customHeight="1">
      <c r="A502" s="33" t="s">
        <v>69</v>
      </c>
      <c r="B502" s="33" t="s">
        <v>446</v>
      </c>
      <c r="C502" s="33" t="s">
        <v>446</v>
      </c>
      <c r="D502" s="33" t="s">
        <v>14</v>
      </c>
      <c r="E502" s="34">
        <v>15.95</v>
      </c>
      <c r="F502" s="33" t="s">
        <v>1032</v>
      </c>
    </row>
    <row r="503" ht="15.75" customHeight="1">
      <c r="A503" s="33" t="s">
        <v>69</v>
      </c>
      <c r="B503" s="33" t="s">
        <v>404</v>
      </c>
      <c r="C503" s="33" t="s">
        <v>404</v>
      </c>
      <c r="D503" s="33" t="s">
        <v>14</v>
      </c>
      <c r="E503" s="34">
        <v>500.0</v>
      </c>
      <c r="F503" s="33" t="s">
        <v>1033</v>
      </c>
    </row>
    <row r="504" ht="15.75" customHeight="1">
      <c r="A504" s="33" t="s">
        <v>69</v>
      </c>
      <c r="B504" s="33" t="s">
        <v>314</v>
      </c>
      <c r="C504" s="33" t="s">
        <v>314</v>
      </c>
      <c r="D504" s="33" t="s">
        <v>14</v>
      </c>
      <c r="E504" s="34">
        <v>200.0</v>
      </c>
      <c r="F504" s="33" t="s">
        <v>1034</v>
      </c>
    </row>
    <row r="505" ht="15.75" customHeight="1">
      <c r="A505" s="33" t="s">
        <v>69</v>
      </c>
      <c r="B505" s="33" t="s">
        <v>191</v>
      </c>
      <c r="C505" s="33" t="s">
        <v>191</v>
      </c>
      <c r="D505" s="33" t="s">
        <v>14</v>
      </c>
      <c r="E505" s="34">
        <v>1367.99</v>
      </c>
      <c r="F505" s="33" t="s">
        <v>933</v>
      </c>
    </row>
    <row r="506" ht="15.75" customHeight="1">
      <c r="A506" s="33" t="s">
        <v>69</v>
      </c>
      <c r="B506" s="33" t="s">
        <v>128</v>
      </c>
      <c r="C506" s="33" t="s">
        <v>128</v>
      </c>
      <c r="D506" s="33" t="s">
        <v>22</v>
      </c>
      <c r="E506" s="34">
        <v>3195.5</v>
      </c>
      <c r="F506" s="33" t="s">
        <v>1035</v>
      </c>
    </row>
    <row r="507" ht="15.75" customHeight="1">
      <c r="A507" s="33" t="s">
        <v>69</v>
      </c>
      <c r="B507" s="33" t="s">
        <v>144</v>
      </c>
      <c r="C507" s="33" t="s">
        <v>144</v>
      </c>
      <c r="D507" s="33" t="s">
        <v>18</v>
      </c>
      <c r="E507" s="34">
        <v>213.65</v>
      </c>
      <c r="F507" s="33" t="s">
        <v>1036</v>
      </c>
    </row>
    <row r="508" ht="15.75" customHeight="1">
      <c r="A508" s="33" t="s">
        <v>69</v>
      </c>
      <c r="B508" s="33" t="s">
        <v>189</v>
      </c>
      <c r="C508" s="33" t="s">
        <v>189</v>
      </c>
      <c r="D508" s="33" t="s">
        <v>14</v>
      </c>
      <c r="E508" s="34">
        <v>1770.0</v>
      </c>
      <c r="F508" s="33" t="s">
        <v>646</v>
      </c>
    </row>
    <row r="509" ht="15.75" customHeight="1">
      <c r="A509" s="33" t="s">
        <v>69</v>
      </c>
      <c r="B509" s="33" t="s">
        <v>233</v>
      </c>
      <c r="C509" s="33" t="s">
        <v>583</v>
      </c>
      <c r="D509" s="33" t="s">
        <v>14</v>
      </c>
      <c r="E509" s="34">
        <v>101.96</v>
      </c>
      <c r="F509" s="33" t="s">
        <v>1037</v>
      </c>
    </row>
    <row r="510" ht="15.75" customHeight="1">
      <c r="A510" s="33" t="s">
        <v>69</v>
      </c>
      <c r="B510" s="33" t="s">
        <v>431</v>
      </c>
      <c r="C510" s="33" t="s">
        <v>431</v>
      </c>
      <c r="D510" s="33" t="s">
        <v>14</v>
      </c>
      <c r="E510" s="34">
        <v>230.0</v>
      </c>
      <c r="F510" s="33" t="s">
        <v>1038</v>
      </c>
    </row>
    <row r="511" ht="15.75" customHeight="1">
      <c r="A511" s="33" t="s">
        <v>69</v>
      </c>
      <c r="B511" s="33" t="s">
        <v>488</v>
      </c>
      <c r="C511" s="33" t="s">
        <v>488</v>
      </c>
      <c r="D511" s="33" t="s">
        <v>14</v>
      </c>
      <c r="E511" s="34">
        <v>35.0</v>
      </c>
      <c r="F511" s="33" t="s">
        <v>950</v>
      </c>
    </row>
    <row r="512" ht="15.75" customHeight="1">
      <c r="A512" s="33" t="s">
        <v>69</v>
      </c>
      <c r="B512" s="33" t="s">
        <v>219</v>
      </c>
      <c r="C512" s="33" t="s">
        <v>219</v>
      </c>
      <c r="D512" s="33" t="s">
        <v>14</v>
      </c>
      <c r="E512" s="34">
        <v>120.7</v>
      </c>
      <c r="F512" s="33" t="s">
        <v>1039</v>
      </c>
    </row>
    <row r="513" ht="15.75" customHeight="1">
      <c r="A513" s="33" t="s">
        <v>69</v>
      </c>
      <c r="B513" s="33" t="s">
        <v>125</v>
      </c>
      <c r="C513" s="33" t="s">
        <v>587</v>
      </c>
      <c r="D513" s="33" t="s">
        <v>20</v>
      </c>
      <c r="E513" s="34">
        <v>353.0</v>
      </c>
      <c r="F513" s="33" t="s">
        <v>1040</v>
      </c>
    </row>
    <row r="514" ht="15.75" customHeight="1">
      <c r="A514" s="33" t="s">
        <v>69</v>
      </c>
      <c r="B514" s="33" t="s">
        <v>103</v>
      </c>
      <c r="C514" s="33" t="s">
        <v>103</v>
      </c>
      <c r="D514" s="33" t="s">
        <v>30</v>
      </c>
      <c r="E514" s="34">
        <v>317.0</v>
      </c>
      <c r="F514" s="33" t="s">
        <v>1041</v>
      </c>
    </row>
    <row r="515" ht="15.75" customHeight="1">
      <c r="A515" s="33" t="s">
        <v>69</v>
      </c>
      <c r="B515" s="33" t="s">
        <v>422</v>
      </c>
      <c r="C515" s="33" t="s">
        <v>1042</v>
      </c>
      <c r="D515" s="33" t="s">
        <v>14</v>
      </c>
      <c r="E515" s="34">
        <v>385.88</v>
      </c>
      <c r="F515" s="33" t="s">
        <v>1043</v>
      </c>
    </row>
    <row r="516" ht="15.75" customHeight="1">
      <c r="A516" s="33" t="s">
        <v>69</v>
      </c>
      <c r="B516" s="33" t="s">
        <v>29</v>
      </c>
      <c r="C516" s="33" t="s">
        <v>29</v>
      </c>
      <c r="D516" s="33" t="s">
        <v>28</v>
      </c>
      <c r="E516" s="34">
        <v>32081.63</v>
      </c>
      <c r="F516" s="33" t="s">
        <v>1044</v>
      </c>
    </row>
    <row r="517" ht="15.75" customHeight="1">
      <c r="A517" s="33" t="s">
        <v>69</v>
      </c>
      <c r="B517" s="33" t="s">
        <v>120</v>
      </c>
      <c r="C517" s="33" t="s">
        <v>819</v>
      </c>
      <c r="D517" s="33" t="s">
        <v>14</v>
      </c>
      <c r="E517" s="34">
        <v>1015.0</v>
      </c>
      <c r="F517" s="33" t="s">
        <v>1045</v>
      </c>
    </row>
    <row r="518" ht="15.75" customHeight="1">
      <c r="A518" s="33" t="s">
        <v>69</v>
      </c>
      <c r="B518" s="33" t="s">
        <v>161</v>
      </c>
      <c r="C518" s="33" t="s">
        <v>596</v>
      </c>
      <c r="D518" s="33" t="s">
        <v>38</v>
      </c>
      <c r="E518" s="34">
        <v>1877.6</v>
      </c>
      <c r="F518" s="33" t="s">
        <v>854</v>
      </c>
    </row>
    <row r="519" ht="15.75" customHeight="1">
      <c r="A519" s="33" t="s">
        <v>69</v>
      </c>
      <c r="B519" s="33" t="s">
        <v>243</v>
      </c>
      <c r="C519" s="33" t="s">
        <v>243</v>
      </c>
      <c r="D519" s="33" t="s">
        <v>14</v>
      </c>
      <c r="E519" s="34">
        <v>336.0</v>
      </c>
      <c r="F519" s="33" t="s">
        <v>604</v>
      </c>
    </row>
    <row r="520" ht="15.75" customHeight="1">
      <c r="A520" s="33" t="s">
        <v>69</v>
      </c>
      <c r="B520" s="33" t="s">
        <v>273</v>
      </c>
      <c r="C520" s="33" t="s">
        <v>273</v>
      </c>
      <c r="D520" s="33" t="s">
        <v>14</v>
      </c>
      <c r="E520" s="34">
        <v>20.0</v>
      </c>
      <c r="F520" s="33" t="s">
        <v>608</v>
      </c>
    </row>
    <row r="521" ht="15.75" customHeight="1">
      <c r="A521" s="33" t="s">
        <v>69</v>
      </c>
      <c r="B521" s="33" t="s">
        <v>364</v>
      </c>
      <c r="C521" s="33" t="s">
        <v>364</v>
      </c>
      <c r="D521" s="33" t="s">
        <v>14</v>
      </c>
      <c r="E521" s="34">
        <v>300.0</v>
      </c>
      <c r="F521" s="33" t="s">
        <v>1046</v>
      </c>
    </row>
    <row r="522" ht="15.75" customHeight="1">
      <c r="A522" s="33" t="s">
        <v>69</v>
      </c>
      <c r="B522" s="33" t="s">
        <v>471</v>
      </c>
      <c r="C522" s="33" t="s">
        <v>471</v>
      </c>
      <c r="D522" s="33" t="s">
        <v>14</v>
      </c>
      <c r="E522" s="34">
        <v>100.0</v>
      </c>
      <c r="F522" s="33" t="s">
        <v>1047</v>
      </c>
    </row>
    <row r="523" ht="15.75" customHeight="1">
      <c r="A523" s="33" t="s">
        <v>69</v>
      </c>
      <c r="B523" s="33" t="s">
        <v>29</v>
      </c>
      <c r="C523" s="33" t="s">
        <v>29</v>
      </c>
      <c r="D523" s="33" t="s">
        <v>28</v>
      </c>
      <c r="E523" s="34">
        <v>12800.0</v>
      </c>
      <c r="F523" s="33" t="s">
        <v>1048</v>
      </c>
    </row>
    <row r="524" ht="15.75" customHeight="1">
      <c r="A524" s="33" t="s">
        <v>69</v>
      </c>
      <c r="B524" s="33" t="s">
        <v>222</v>
      </c>
      <c r="C524" s="33" t="s">
        <v>664</v>
      </c>
      <c r="D524" s="33" t="s">
        <v>38</v>
      </c>
      <c r="E524" s="34">
        <v>1090.48</v>
      </c>
      <c r="F524" s="33" t="s">
        <v>1049</v>
      </c>
    </row>
    <row r="525" ht="15.75" customHeight="1">
      <c r="A525" s="33" t="s">
        <v>69</v>
      </c>
      <c r="B525" s="33" t="s">
        <v>127</v>
      </c>
      <c r="C525" s="33" t="s">
        <v>127</v>
      </c>
      <c r="D525" s="33" t="s">
        <v>36</v>
      </c>
      <c r="E525" s="34">
        <v>2485.67</v>
      </c>
      <c r="F525" s="33" t="s">
        <v>1050</v>
      </c>
    </row>
    <row r="526" ht="15.75" customHeight="1">
      <c r="A526" s="33" t="s">
        <v>69</v>
      </c>
      <c r="B526" s="33" t="s">
        <v>142</v>
      </c>
      <c r="C526" s="33" t="s">
        <v>142</v>
      </c>
      <c r="D526" s="33" t="s">
        <v>36</v>
      </c>
      <c r="E526" s="34">
        <v>1757.06</v>
      </c>
      <c r="F526" s="33" t="s">
        <v>543</v>
      </c>
    </row>
    <row r="527" ht="15.75" customHeight="1">
      <c r="A527" s="33" t="s">
        <v>69</v>
      </c>
      <c r="B527" s="33" t="s">
        <v>247</v>
      </c>
      <c r="C527" s="33" t="s">
        <v>961</v>
      </c>
      <c r="D527" s="33" t="s">
        <v>14</v>
      </c>
      <c r="E527" s="34">
        <v>72.0</v>
      </c>
      <c r="F527" s="33" t="s">
        <v>1051</v>
      </c>
    </row>
    <row r="528" ht="15.75" customHeight="1">
      <c r="A528" s="33" t="s">
        <v>69</v>
      </c>
      <c r="B528" s="33" t="s">
        <v>117</v>
      </c>
      <c r="C528" s="33" t="s">
        <v>117</v>
      </c>
      <c r="D528" s="33" t="s">
        <v>14</v>
      </c>
      <c r="E528" s="34">
        <v>561.6</v>
      </c>
      <c r="F528" s="33" t="s">
        <v>1052</v>
      </c>
    </row>
    <row r="529" ht="15.75" customHeight="1">
      <c r="A529" s="33" t="s">
        <v>69</v>
      </c>
      <c r="B529" s="33" t="s">
        <v>1053</v>
      </c>
      <c r="C529" s="33" t="s">
        <v>117</v>
      </c>
      <c r="D529" s="33" t="s">
        <v>14</v>
      </c>
      <c r="E529" s="34">
        <v>5552.51</v>
      </c>
      <c r="F529" s="33" t="s">
        <v>1054</v>
      </c>
    </row>
    <row r="530" ht="15.75" customHeight="1">
      <c r="A530" s="33" t="s">
        <v>69</v>
      </c>
      <c r="B530" s="33" t="s">
        <v>343</v>
      </c>
      <c r="C530" s="33" t="s">
        <v>343</v>
      </c>
      <c r="D530" s="33" t="s">
        <v>14</v>
      </c>
      <c r="E530" s="34">
        <v>308.7</v>
      </c>
      <c r="F530" s="33" t="s">
        <v>1055</v>
      </c>
    </row>
    <row r="531" ht="15.75" customHeight="1">
      <c r="A531" s="33" t="s">
        <v>69</v>
      </c>
      <c r="B531" s="33" t="s">
        <v>146</v>
      </c>
      <c r="C531" s="33" t="s">
        <v>1056</v>
      </c>
      <c r="D531" s="33" t="s">
        <v>18</v>
      </c>
      <c r="E531" s="34">
        <v>2355.46</v>
      </c>
      <c r="F531" s="33" t="s">
        <v>1057</v>
      </c>
    </row>
    <row r="532" ht="15.75" customHeight="1">
      <c r="A532" s="33" t="s">
        <v>69</v>
      </c>
      <c r="B532" s="33" t="s">
        <v>315</v>
      </c>
      <c r="C532" s="33" t="s">
        <v>315</v>
      </c>
      <c r="D532" s="33" t="s">
        <v>40</v>
      </c>
      <c r="E532" s="34">
        <v>1355.0</v>
      </c>
      <c r="F532" s="33" t="s">
        <v>1058</v>
      </c>
    </row>
    <row r="533" ht="15.75" customHeight="1">
      <c r="A533" s="33" t="s">
        <v>69</v>
      </c>
      <c r="B533" s="33" t="s">
        <v>196</v>
      </c>
      <c r="C533" s="33" t="s">
        <v>196</v>
      </c>
      <c r="D533" s="33" t="s">
        <v>30</v>
      </c>
      <c r="E533" s="34">
        <v>183.0</v>
      </c>
      <c r="F533" s="33" t="s">
        <v>687</v>
      </c>
    </row>
    <row r="534" ht="15.75" customHeight="1">
      <c r="A534" s="33" t="s">
        <v>69</v>
      </c>
      <c r="B534" s="33" t="s">
        <v>96</v>
      </c>
      <c r="C534" s="33" t="s">
        <v>925</v>
      </c>
      <c r="D534" s="33" t="s">
        <v>20</v>
      </c>
      <c r="E534" s="34">
        <v>12419.02</v>
      </c>
      <c r="F534" s="33" t="s">
        <v>1059</v>
      </c>
    </row>
    <row r="535" ht="15.75" customHeight="1">
      <c r="A535" s="33" t="s">
        <v>69</v>
      </c>
      <c r="B535" s="33" t="s">
        <v>290</v>
      </c>
      <c r="C535" s="33" t="s">
        <v>568</v>
      </c>
      <c r="D535" s="33" t="s">
        <v>14</v>
      </c>
      <c r="E535" s="34">
        <v>119.9</v>
      </c>
      <c r="F535" s="33" t="s">
        <v>1060</v>
      </c>
    </row>
    <row r="536" ht="15.75" customHeight="1">
      <c r="A536" s="33" t="s">
        <v>69</v>
      </c>
      <c r="B536" s="33" t="s">
        <v>99</v>
      </c>
      <c r="C536" s="33" t="s">
        <v>99</v>
      </c>
      <c r="D536" s="33" t="s">
        <v>16</v>
      </c>
      <c r="E536" s="34">
        <v>5020.0</v>
      </c>
      <c r="F536" s="33" t="s">
        <v>1061</v>
      </c>
    </row>
    <row r="537" ht="15.75" customHeight="1">
      <c r="A537" s="33" t="s">
        <v>69</v>
      </c>
      <c r="B537" s="33" t="s">
        <v>472</v>
      </c>
      <c r="C537" s="33" t="s">
        <v>472</v>
      </c>
      <c r="D537" s="33" t="s">
        <v>14</v>
      </c>
      <c r="E537" s="34">
        <v>100.0</v>
      </c>
      <c r="F537" s="33" t="s">
        <v>1047</v>
      </c>
    </row>
    <row r="538" ht="15.75" customHeight="1">
      <c r="A538" s="33" t="s">
        <v>69</v>
      </c>
      <c r="B538" s="33" t="s">
        <v>130</v>
      </c>
      <c r="C538" s="33" t="s">
        <v>657</v>
      </c>
      <c r="D538" s="33" t="s">
        <v>14</v>
      </c>
      <c r="E538" s="34">
        <v>80.0</v>
      </c>
      <c r="F538" s="33" t="s">
        <v>1062</v>
      </c>
    </row>
    <row r="539" ht="15.75" customHeight="1">
      <c r="A539" s="33" t="s">
        <v>69</v>
      </c>
      <c r="B539" s="33" t="s">
        <v>103</v>
      </c>
      <c r="C539" s="33" t="s">
        <v>103</v>
      </c>
      <c r="D539" s="33" t="s">
        <v>30</v>
      </c>
      <c r="E539" s="34">
        <v>720.0</v>
      </c>
      <c r="F539" s="33" t="s">
        <v>1063</v>
      </c>
    </row>
    <row r="540" ht="15.75" customHeight="1">
      <c r="A540" s="33" t="s">
        <v>69</v>
      </c>
      <c r="B540" s="33" t="s">
        <v>161</v>
      </c>
      <c r="C540" s="33" t="s">
        <v>596</v>
      </c>
      <c r="D540" s="33" t="s">
        <v>38</v>
      </c>
      <c r="E540" s="34">
        <v>270.06</v>
      </c>
      <c r="F540" s="33" t="s">
        <v>715</v>
      </c>
    </row>
    <row r="541" ht="15.75" customHeight="1">
      <c r="A541" s="33" t="s">
        <v>69</v>
      </c>
      <c r="B541" s="33" t="s">
        <v>338</v>
      </c>
      <c r="C541" s="33" t="s">
        <v>338</v>
      </c>
      <c r="D541" s="33" t="s">
        <v>16</v>
      </c>
      <c r="E541" s="34">
        <v>50.0</v>
      </c>
      <c r="F541" s="33" t="s">
        <v>720</v>
      </c>
    </row>
    <row r="542" ht="15.75" customHeight="1">
      <c r="A542" s="33" t="s">
        <v>69</v>
      </c>
      <c r="B542" s="33" t="s">
        <v>348</v>
      </c>
      <c r="C542" s="33" t="s">
        <v>348</v>
      </c>
      <c r="D542" s="33" t="s">
        <v>14</v>
      </c>
      <c r="E542" s="34">
        <v>1070.0</v>
      </c>
      <c r="F542" s="33" t="s">
        <v>1064</v>
      </c>
    </row>
    <row r="543" ht="15.75" customHeight="1">
      <c r="A543" s="33" t="s">
        <v>69</v>
      </c>
      <c r="B543" s="33" t="s">
        <v>180</v>
      </c>
      <c r="C543" s="33" t="s">
        <v>180</v>
      </c>
      <c r="D543" s="33" t="s">
        <v>36</v>
      </c>
      <c r="E543" s="34">
        <v>863.33</v>
      </c>
      <c r="F543" s="33" t="s">
        <v>1065</v>
      </c>
    </row>
    <row r="544" ht="15.75" customHeight="1">
      <c r="A544" s="33" t="s">
        <v>69</v>
      </c>
      <c r="B544" s="33" t="s">
        <v>369</v>
      </c>
      <c r="C544" s="33" t="s">
        <v>369</v>
      </c>
      <c r="D544" s="33" t="s">
        <v>36</v>
      </c>
      <c r="E544" s="34">
        <v>61.14</v>
      </c>
      <c r="F544" s="33" t="s">
        <v>1066</v>
      </c>
    </row>
    <row r="545" ht="15.75" customHeight="1">
      <c r="A545" s="33" t="s">
        <v>69</v>
      </c>
      <c r="B545" s="33" t="s">
        <v>382</v>
      </c>
      <c r="C545" s="33" t="s">
        <v>382</v>
      </c>
      <c r="D545" s="33" t="s">
        <v>36</v>
      </c>
      <c r="E545" s="34">
        <v>51.8</v>
      </c>
      <c r="F545" s="33" t="s">
        <v>1067</v>
      </c>
    </row>
    <row r="546" ht="15.75" customHeight="1">
      <c r="A546" s="33" t="s">
        <v>70</v>
      </c>
      <c r="B546" s="33" t="s">
        <v>88</v>
      </c>
      <c r="C546" s="33" t="s">
        <v>685</v>
      </c>
      <c r="D546" s="33" t="s">
        <v>18</v>
      </c>
      <c r="E546" s="34">
        <v>204488.2</v>
      </c>
      <c r="F546" s="33" t="s">
        <v>1068</v>
      </c>
    </row>
    <row r="547" ht="15.75" customHeight="1">
      <c r="A547" s="33" t="s">
        <v>70</v>
      </c>
      <c r="B547" s="33" t="s">
        <v>43</v>
      </c>
      <c r="C547" s="33" t="s">
        <v>43</v>
      </c>
      <c r="D547" s="33" t="s">
        <v>18</v>
      </c>
      <c r="E547" s="34">
        <v>218363.0</v>
      </c>
      <c r="F547" s="33" t="s">
        <v>1069</v>
      </c>
    </row>
    <row r="548" ht="15.75" customHeight="1">
      <c r="A548" s="33" t="s">
        <v>70</v>
      </c>
      <c r="B548" s="33" t="s">
        <v>319</v>
      </c>
      <c r="C548" s="33" t="s">
        <v>319</v>
      </c>
      <c r="D548" s="33" t="s">
        <v>14</v>
      </c>
      <c r="E548" s="34">
        <v>150.0</v>
      </c>
      <c r="F548" s="33" t="s">
        <v>1070</v>
      </c>
    </row>
    <row r="549" ht="15.75" customHeight="1">
      <c r="A549" s="33" t="s">
        <v>70</v>
      </c>
      <c r="B549" s="33" t="s">
        <v>411</v>
      </c>
      <c r="C549" s="33" t="s">
        <v>411</v>
      </c>
      <c r="D549" s="33" t="s">
        <v>40</v>
      </c>
      <c r="E549" s="34">
        <v>163.51</v>
      </c>
      <c r="F549" s="33" t="s">
        <v>1071</v>
      </c>
    </row>
    <row r="550" ht="15.75" customHeight="1">
      <c r="A550" s="33" t="s">
        <v>70</v>
      </c>
      <c r="B550" s="33" t="s">
        <v>202</v>
      </c>
      <c r="C550" s="33" t="s">
        <v>1072</v>
      </c>
      <c r="D550" s="33" t="s">
        <v>14</v>
      </c>
      <c r="E550" s="34">
        <v>237.35</v>
      </c>
      <c r="F550" s="33" t="s">
        <v>1073</v>
      </c>
    </row>
    <row r="551" ht="15.75" customHeight="1">
      <c r="A551" s="33" t="s">
        <v>70</v>
      </c>
      <c r="B551" s="33" t="s">
        <v>122</v>
      </c>
      <c r="C551" s="33" t="s">
        <v>529</v>
      </c>
      <c r="D551" s="33" t="s">
        <v>20</v>
      </c>
      <c r="E551" s="34">
        <v>945.0</v>
      </c>
      <c r="F551" s="33" t="s">
        <v>1074</v>
      </c>
    </row>
    <row r="552" ht="15.75" customHeight="1">
      <c r="A552" s="33" t="s">
        <v>70</v>
      </c>
      <c r="B552" s="33" t="s">
        <v>210</v>
      </c>
      <c r="C552" s="33" t="s">
        <v>531</v>
      </c>
      <c r="D552" s="33" t="s">
        <v>22</v>
      </c>
      <c r="E552" s="34">
        <v>2223.0</v>
      </c>
      <c r="F552" s="33" t="s">
        <v>1075</v>
      </c>
    </row>
    <row r="553" ht="15.75" customHeight="1">
      <c r="A553" s="33" t="s">
        <v>70</v>
      </c>
      <c r="B553" s="33" t="s">
        <v>17</v>
      </c>
      <c r="C553" s="33" t="s">
        <v>534</v>
      </c>
      <c r="D553" s="33" t="s">
        <v>18</v>
      </c>
      <c r="E553" s="34">
        <v>956.47</v>
      </c>
      <c r="F553" s="33" t="s">
        <v>1076</v>
      </c>
    </row>
    <row r="554" ht="15.75" customHeight="1">
      <c r="A554" s="33" t="s">
        <v>70</v>
      </c>
      <c r="B554" s="33" t="s">
        <v>123</v>
      </c>
      <c r="C554" s="33" t="s">
        <v>123</v>
      </c>
      <c r="D554" s="33" t="s">
        <v>20</v>
      </c>
      <c r="E554" s="34">
        <v>3587.32</v>
      </c>
      <c r="F554" s="33" t="s">
        <v>1077</v>
      </c>
    </row>
    <row r="555" ht="15.75" customHeight="1">
      <c r="A555" s="33" t="s">
        <v>70</v>
      </c>
      <c r="B555" s="33" t="s">
        <v>90</v>
      </c>
      <c r="C555" s="33" t="s">
        <v>536</v>
      </c>
      <c r="D555" s="33" t="s">
        <v>18</v>
      </c>
      <c r="E555" s="34">
        <v>1323.66</v>
      </c>
      <c r="F555" s="33" t="s">
        <v>1078</v>
      </c>
    </row>
    <row r="556" ht="15.75" customHeight="1">
      <c r="A556" s="33" t="s">
        <v>70</v>
      </c>
      <c r="B556" s="33" t="s">
        <v>228</v>
      </c>
      <c r="C556" s="33" t="s">
        <v>1079</v>
      </c>
      <c r="D556" s="33" t="s">
        <v>14</v>
      </c>
      <c r="E556" s="34">
        <v>5853.2</v>
      </c>
      <c r="F556" s="33" t="s">
        <v>1080</v>
      </c>
    </row>
    <row r="557" ht="15.75" customHeight="1">
      <c r="A557" s="33" t="s">
        <v>70</v>
      </c>
      <c r="B557" s="33" t="s">
        <v>113</v>
      </c>
      <c r="C557" s="33" t="s">
        <v>540</v>
      </c>
      <c r="D557" s="33" t="s">
        <v>14</v>
      </c>
      <c r="E557" s="34">
        <v>3664.05</v>
      </c>
      <c r="F557" s="33" t="s">
        <v>1020</v>
      </c>
    </row>
    <row r="558" ht="15.75" customHeight="1">
      <c r="A558" s="33" t="s">
        <v>70</v>
      </c>
      <c r="B558" s="33" t="s">
        <v>291</v>
      </c>
      <c r="C558" s="33" t="s">
        <v>291</v>
      </c>
      <c r="D558" s="33" t="s">
        <v>38</v>
      </c>
      <c r="E558" s="34">
        <v>59.45</v>
      </c>
      <c r="F558" s="33" t="s">
        <v>623</v>
      </c>
    </row>
    <row r="559" ht="15.75" customHeight="1">
      <c r="A559" s="33" t="s">
        <v>70</v>
      </c>
      <c r="B559" s="33" t="s">
        <v>116</v>
      </c>
      <c r="C559" s="33" t="s">
        <v>116</v>
      </c>
      <c r="D559" s="33" t="s">
        <v>20</v>
      </c>
      <c r="E559" s="34">
        <v>5562.8</v>
      </c>
      <c r="F559" s="33" t="s">
        <v>1081</v>
      </c>
    </row>
    <row r="560" ht="15.75" customHeight="1">
      <c r="A560" s="33" t="s">
        <v>70</v>
      </c>
      <c r="B560" s="33" t="s">
        <v>466</v>
      </c>
      <c r="C560" s="33" t="s">
        <v>466</v>
      </c>
      <c r="D560" s="33" t="s">
        <v>14</v>
      </c>
      <c r="E560" s="34">
        <v>137.8</v>
      </c>
      <c r="F560" s="33" t="s">
        <v>1082</v>
      </c>
    </row>
    <row r="561" ht="15.75" customHeight="1">
      <c r="A561" s="33" t="s">
        <v>70</v>
      </c>
      <c r="B561" s="33" t="s">
        <v>436</v>
      </c>
      <c r="C561" s="33" t="s">
        <v>436</v>
      </c>
      <c r="D561" s="33" t="s">
        <v>14</v>
      </c>
      <c r="E561" s="34">
        <v>131.85</v>
      </c>
      <c r="F561" s="33" t="s">
        <v>1083</v>
      </c>
    </row>
    <row r="562" ht="15.75" customHeight="1">
      <c r="A562" s="33" t="s">
        <v>70</v>
      </c>
      <c r="B562" s="33" t="s">
        <v>351</v>
      </c>
      <c r="C562" s="33" t="s">
        <v>351</v>
      </c>
      <c r="D562" s="33" t="s">
        <v>38</v>
      </c>
      <c r="E562" s="34">
        <v>41.19</v>
      </c>
      <c r="F562" s="33" t="s">
        <v>738</v>
      </c>
    </row>
    <row r="563" ht="15.75" customHeight="1">
      <c r="A563" s="33" t="s">
        <v>70</v>
      </c>
      <c r="B563" s="33" t="s">
        <v>309</v>
      </c>
      <c r="C563" s="33" t="s">
        <v>1084</v>
      </c>
      <c r="D563" s="33" t="s">
        <v>14</v>
      </c>
      <c r="E563" s="34">
        <v>1798.5</v>
      </c>
      <c r="F563" s="33" t="s">
        <v>1085</v>
      </c>
    </row>
    <row r="564" ht="15.75" customHeight="1">
      <c r="A564" s="33" t="s">
        <v>70</v>
      </c>
      <c r="B564" s="33" t="s">
        <v>218</v>
      </c>
      <c r="C564" s="33" t="s">
        <v>553</v>
      </c>
      <c r="D564" s="33" t="s">
        <v>40</v>
      </c>
      <c r="E564" s="34">
        <v>1480.75</v>
      </c>
      <c r="F564" s="33" t="s">
        <v>1086</v>
      </c>
    </row>
    <row r="565" ht="15.75" customHeight="1">
      <c r="A565" s="33" t="s">
        <v>70</v>
      </c>
      <c r="B565" s="33" t="s">
        <v>305</v>
      </c>
      <c r="C565" s="33" t="s">
        <v>1087</v>
      </c>
      <c r="D565" s="33" t="s">
        <v>14</v>
      </c>
      <c r="E565" s="34">
        <v>1955.95</v>
      </c>
      <c r="F565" s="33" t="s">
        <v>1088</v>
      </c>
    </row>
    <row r="566" ht="15.75" customHeight="1">
      <c r="A566" s="33" t="s">
        <v>70</v>
      </c>
      <c r="B566" s="33" t="s">
        <v>96</v>
      </c>
      <c r="C566" s="33" t="s">
        <v>925</v>
      </c>
      <c r="D566" s="33" t="s">
        <v>20</v>
      </c>
      <c r="E566" s="34">
        <v>1225.14</v>
      </c>
      <c r="F566" s="33" t="s">
        <v>1089</v>
      </c>
    </row>
    <row r="567" ht="15.75" customHeight="1">
      <c r="A567" s="33" t="s">
        <v>70</v>
      </c>
      <c r="B567" s="33" t="s">
        <v>145</v>
      </c>
      <c r="C567" s="33" t="s">
        <v>564</v>
      </c>
      <c r="D567" s="33" t="s">
        <v>14</v>
      </c>
      <c r="E567" s="34">
        <v>750.0</v>
      </c>
      <c r="F567" s="33" t="s">
        <v>1090</v>
      </c>
    </row>
    <row r="568" ht="15.75" customHeight="1">
      <c r="A568" s="33" t="s">
        <v>70</v>
      </c>
      <c r="B568" s="33" t="s">
        <v>136</v>
      </c>
      <c r="C568" s="33" t="s">
        <v>136</v>
      </c>
      <c r="D568" s="33" t="s">
        <v>14</v>
      </c>
      <c r="E568" s="34">
        <v>3523.29</v>
      </c>
      <c r="F568" s="33" t="s">
        <v>1091</v>
      </c>
    </row>
    <row r="569" ht="15.75" customHeight="1">
      <c r="A569" s="33" t="s">
        <v>70</v>
      </c>
      <c r="B569" s="33" t="s">
        <v>93</v>
      </c>
      <c r="C569" s="33" t="s">
        <v>93</v>
      </c>
      <c r="D569" s="33" t="s">
        <v>16</v>
      </c>
      <c r="E569" s="34">
        <v>128.0</v>
      </c>
      <c r="F569" s="33" t="s">
        <v>1092</v>
      </c>
    </row>
    <row r="570" ht="15.75" customHeight="1">
      <c r="A570" s="33" t="s">
        <v>70</v>
      </c>
      <c r="B570" s="33" t="s">
        <v>435</v>
      </c>
      <c r="C570" s="33" t="s">
        <v>435</v>
      </c>
      <c r="D570" s="33" t="s">
        <v>14</v>
      </c>
      <c r="E570" s="34">
        <v>288.24</v>
      </c>
      <c r="F570" s="33" t="s">
        <v>1093</v>
      </c>
    </row>
    <row r="571" ht="15.75" customHeight="1">
      <c r="A571" s="33" t="s">
        <v>70</v>
      </c>
      <c r="B571" s="33" t="s">
        <v>191</v>
      </c>
      <c r="C571" s="33" t="s">
        <v>191</v>
      </c>
      <c r="D571" s="33" t="s">
        <v>14</v>
      </c>
      <c r="E571" s="34">
        <v>878.0</v>
      </c>
      <c r="F571" s="33" t="s">
        <v>933</v>
      </c>
    </row>
    <row r="572" ht="15.75" customHeight="1">
      <c r="A572" s="33" t="s">
        <v>70</v>
      </c>
      <c r="B572" s="33" t="s">
        <v>168</v>
      </c>
      <c r="C572" s="33" t="s">
        <v>889</v>
      </c>
      <c r="D572" s="33" t="s">
        <v>14</v>
      </c>
      <c r="E572" s="34">
        <v>9739.0</v>
      </c>
      <c r="F572" s="33" t="s">
        <v>1094</v>
      </c>
    </row>
    <row r="573" ht="15.75" customHeight="1">
      <c r="A573" s="33" t="s">
        <v>70</v>
      </c>
      <c r="B573" s="33" t="s">
        <v>135</v>
      </c>
      <c r="C573" s="33" t="s">
        <v>840</v>
      </c>
      <c r="D573" s="33" t="s">
        <v>14</v>
      </c>
      <c r="E573" s="34">
        <v>25000.0</v>
      </c>
      <c r="F573" s="33" t="s">
        <v>841</v>
      </c>
    </row>
    <row r="574" ht="15.75" customHeight="1">
      <c r="A574" s="33" t="s">
        <v>70</v>
      </c>
      <c r="B574" s="33" t="s">
        <v>294</v>
      </c>
      <c r="C574" s="33" t="s">
        <v>638</v>
      </c>
      <c r="D574" s="33" t="s">
        <v>14</v>
      </c>
      <c r="E574" s="34">
        <v>257.48</v>
      </c>
      <c r="F574" s="33" t="s">
        <v>1095</v>
      </c>
    </row>
    <row r="575" ht="15.75" customHeight="1">
      <c r="A575" s="33" t="s">
        <v>70</v>
      </c>
      <c r="B575" s="33" t="s">
        <v>489</v>
      </c>
      <c r="C575" s="33" t="s">
        <v>489</v>
      </c>
      <c r="D575" s="33" t="s">
        <v>14</v>
      </c>
      <c r="E575" s="34">
        <v>35.0</v>
      </c>
      <c r="F575" s="33" t="s">
        <v>1096</v>
      </c>
    </row>
    <row r="576" ht="15.75" customHeight="1">
      <c r="A576" s="33" t="s">
        <v>70</v>
      </c>
      <c r="B576" s="33" t="s">
        <v>252</v>
      </c>
      <c r="C576" s="33" t="s">
        <v>252</v>
      </c>
      <c r="D576" s="33" t="s">
        <v>14</v>
      </c>
      <c r="E576" s="34">
        <v>4214.1</v>
      </c>
      <c r="F576" s="33" t="s">
        <v>1097</v>
      </c>
    </row>
    <row r="577" ht="15.75" customHeight="1">
      <c r="A577" s="33" t="s">
        <v>70</v>
      </c>
      <c r="B577" s="33" t="s">
        <v>363</v>
      </c>
      <c r="C577" s="33" t="s">
        <v>363</v>
      </c>
      <c r="D577" s="33" t="s">
        <v>14</v>
      </c>
      <c r="E577" s="34">
        <v>878.5</v>
      </c>
      <c r="F577" s="33" t="s">
        <v>1098</v>
      </c>
    </row>
    <row r="578" ht="15.75" customHeight="1">
      <c r="A578" s="33" t="s">
        <v>70</v>
      </c>
      <c r="B578" s="33" t="s">
        <v>324</v>
      </c>
      <c r="C578" s="33" t="s">
        <v>324</v>
      </c>
      <c r="D578" s="33" t="s">
        <v>14</v>
      </c>
      <c r="E578" s="34">
        <v>1423.0</v>
      </c>
      <c r="F578" s="33" t="s">
        <v>644</v>
      </c>
    </row>
    <row r="579" ht="15.75" customHeight="1">
      <c r="A579" s="33" t="s">
        <v>70</v>
      </c>
      <c r="B579" s="33" t="s">
        <v>144</v>
      </c>
      <c r="C579" s="33" t="s">
        <v>144</v>
      </c>
      <c r="D579" s="33" t="s">
        <v>18</v>
      </c>
      <c r="E579" s="34">
        <v>1048.31</v>
      </c>
      <c r="F579" s="33" t="s">
        <v>1099</v>
      </c>
    </row>
    <row r="580" ht="15.75" customHeight="1">
      <c r="A580" s="33" t="s">
        <v>70</v>
      </c>
      <c r="B580" s="33" t="s">
        <v>197</v>
      </c>
      <c r="C580" s="33" t="s">
        <v>197</v>
      </c>
      <c r="D580" s="33" t="s">
        <v>14</v>
      </c>
      <c r="E580" s="34">
        <v>916.63</v>
      </c>
      <c r="F580" s="33" t="s">
        <v>1100</v>
      </c>
    </row>
    <row r="581" ht="15.75" customHeight="1">
      <c r="A581" s="33" t="s">
        <v>70</v>
      </c>
      <c r="B581" s="33" t="s">
        <v>187</v>
      </c>
      <c r="C581" s="33" t="s">
        <v>1101</v>
      </c>
      <c r="D581" s="33" t="s">
        <v>14</v>
      </c>
      <c r="E581" s="34">
        <v>11080.0</v>
      </c>
      <c r="F581" s="33" t="s">
        <v>1102</v>
      </c>
    </row>
    <row r="582" ht="15.75" customHeight="1">
      <c r="A582" s="33" t="s">
        <v>70</v>
      </c>
      <c r="B582" s="33" t="s">
        <v>223</v>
      </c>
      <c r="C582" s="33" t="s">
        <v>852</v>
      </c>
      <c r="D582" s="33" t="s">
        <v>14</v>
      </c>
      <c r="E582" s="34">
        <v>724.95</v>
      </c>
      <c r="F582" s="33" t="s">
        <v>1103</v>
      </c>
    </row>
    <row r="583" ht="15.75" customHeight="1">
      <c r="A583" s="33" t="s">
        <v>70</v>
      </c>
      <c r="B583" s="33" t="s">
        <v>456</v>
      </c>
      <c r="C583" s="33" t="s">
        <v>456</v>
      </c>
      <c r="D583" s="33" t="s">
        <v>14</v>
      </c>
      <c r="E583" s="34">
        <v>181.0</v>
      </c>
      <c r="F583" s="33" t="s">
        <v>1104</v>
      </c>
    </row>
    <row r="584" ht="15.75" customHeight="1">
      <c r="A584" s="33" t="s">
        <v>70</v>
      </c>
      <c r="B584" s="33" t="s">
        <v>260</v>
      </c>
      <c r="C584" s="33" t="s">
        <v>1105</v>
      </c>
      <c r="D584" s="33" t="s">
        <v>20</v>
      </c>
      <c r="E584" s="34">
        <v>4079.1</v>
      </c>
      <c r="F584" s="33" t="s">
        <v>1106</v>
      </c>
    </row>
    <row r="585" ht="15.75" customHeight="1">
      <c r="A585" s="33" t="s">
        <v>70</v>
      </c>
      <c r="B585" s="33" t="s">
        <v>298</v>
      </c>
      <c r="C585" s="33" t="s">
        <v>594</v>
      </c>
      <c r="D585" s="33" t="s">
        <v>14</v>
      </c>
      <c r="E585" s="34">
        <v>137.04</v>
      </c>
      <c r="F585" s="33" t="s">
        <v>595</v>
      </c>
    </row>
    <row r="586" ht="15.75" customHeight="1">
      <c r="A586" s="33" t="s">
        <v>70</v>
      </c>
      <c r="B586" s="33" t="s">
        <v>261</v>
      </c>
      <c r="C586" s="33" t="s">
        <v>1107</v>
      </c>
      <c r="D586" s="33" t="s">
        <v>14</v>
      </c>
      <c r="E586" s="34">
        <v>3718.0</v>
      </c>
      <c r="F586" s="33" t="s">
        <v>1108</v>
      </c>
    </row>
    <row r="587" ht="15.75" customHeight="1">
      <c r="A587" s="33" t="s">
        <v>70</v>
      </c>
      <c r="B587" s="33" t="s">
        <v>292</v>
      </c>
      <c r="C587" s="33" t="s">
        <v>292</v>
      </c>
      <c r="D587" s="33" t="s">
        <v>18</v>
      </c>
      <c r="E587" s="34">
        <v>224.07</v>
      </c>
      <c r="F587" s="33" t="s">
        <v>599</v>
      </c>
    </row>
    <row r="588" ht="15.75" customHeight="1">
      <c r="A588" s="33" t="s">
        <v>70</v>
      </c>
      <c r="B588" s="33" t="s">
        <v>205</v>
      </c>
      <c r="C588" s="33" t="s">
        <v>205</v>
      </c>
      <c r="D588" s="33" t="s">
        <v>14</v>
      </c>
      <c r="E588" s="34">
        <v>1100.0</v>
      </c>
      <c r="F588" s="33" t="s">
        <v>707</v>
      </c>
    </row>
    <row r="589" ht="15.75" customHeight="1">
      <c r="A589" s="33" t="s">
        <v>70</v>
      </c>
      <c r="B589" s="33" t="s">
        <v>328</v>
      </c>
      <c r="C589" s="33" t="s">
        <v>328</v>
      </c>
      <c r="D589" s="33" t="s">
        <v>36</v>
      </c>
      <c r="E589" s="34">
        <v>108.15</v>
      </c>
      <c r="F589" s="33" t="s">
        <v>600</v>
      </c>
    </row>
    <row r="590" ht="15.75" customHeight="1">
      <c r="A590" s="33" t="s">
        <v>70</v>
      </c>
      <c r="B590" s="33" t="s">
        <v>92</v>
      </c>
      <c r="C590" s="33" t="s">
        <v>773</v>
      </c>
      <c r="D590" s="33" t="s">
        <v>26</v>
      </c>
      <c r="E590" s="34">
        <v>58331.64</v>
      </c>
      <c r="F590" s="33" t="s">
        <v>1109</v>
      </c>
    </row>
    <row r="591" ht="15.75" customHeight="1">
      <c r="A591" s="33" t="s">
        <v>70</v>
      </c>
      <c r="B591" s="33" t="s">
        <v>184</v>
      </c>
      <c r="C591" s="33" t="s">
        <v>581</v>
      </c>
      <c r="D591" s="33" t="s">
        <v>30</v>
      </c>
      <c r="E591" s="34">
        <v>2695.31</v>
      </c>
      <c r="F591" s="33" t="s">
        <v>1110</v>
      </c>
    </row>
    <row r="592" ht="15.75" customHeight="1">
      <c r="A592" s="33" t="s">
        <v>70</v>
      </c>
      <c r="B592" s="33" t="s">
        <v>132</v>
      </c>
      <c r="C592" s="33" t="s">
        <v>132</v>
      </c>
      <c r="D592" s="33" t="s">
        <v>30</v>
      </c>
      <c r="E592" s="34">
        <v>880.0</v>
      </c>
      <c r="F592" s="33" t="s">
        <v>521</v>
      </c>
    </row>
    <row r="593" ht="15.75" customHeight="1">
      <c r="A593" s="33" t="s">
        <v>70</v>
      </c>
      <c r="B593" s="33" t="s">
        <v>222</v>
      </c>
      <c r="C593" s="33" t="s">
        <v>664</v>
      </c>
      <c r="D593" s="33" t="s">
        <v>38</v>
      </c>
      <c r="E593" s="34">
        <v>409.74</v>
      </c>
      <c r="F593" s="33" t="s">
        <v>1111</v>
      </c>
    </row>
    <row r="594" ht="15.75" customHeight="1">
      <c r="A594" s="33" t="s">
        <v>70</v>
      </c>
      <c r="B594" s="33" t="s">
        <v>220</v>
      </c>
      <c r="C594" s="33" t="s">
        <v>220</v>
      </c>
      <c r="D594" s="33" t="s">
        <v>18</v>
      </c>
      <c r="E594" s="34">
        <v>1118.91</v>
      </c>
      <c r="F594" s="33" t="s">
        <v>859</v>
      </c>
    </row>
    <row r="595" ht="15.75" customHeight="1">
      <c r="A595" s="33" t="s">
        <v>70</v>
      </c>
      <c r="B595" s="33" t="s">
        <v>122</v>
      </c>
      <c r="C595" s="33" t="s">
        <v>529</v>
      </c>
      <c r="D595" s="33" t="s">
        <v>20</v>
      </c>
      <c r="E595" s="34">
        <v>2111.98</v>
      </c>
      <c r="F595" s="33" t="s">
        <v>1112</v>
      </c>
    </row>
    <row r="596" ht="15.75" customHeight="1">
      <c r="A596" s="33" t="s">
        <v>70</v>
      </c>
      <c r="B596" s="33" t="s">
        <v>236</v>
      </c>
      <c r="C596" s="33" t="s">
        <v>236</v>
      </c>
      <c r="D596" s="33" t="s">
        <v>14</v>
      </c>
      <c r="E596" s="34">
        <v>278.52</v>
      </c>
      <c r="F596" s="33" t="s">
        <v>1113</v>
      </c>
    </row>
    <row r="597" ht="15.75" customHeight="1">
      <c r="A597" s="33" t="s">
        <v>70</v>
      </c>
      <c r="B597" s="33" t="s">
        <v>94</v>
      </c>
      <c r="C597" s="33" t="s">
        <v>619</v>
      </c>
      <c r="D597" s="33" t="s">
        <v>22</v>
      </c>
      <c r="E597" s="34">
        <v>10120.5</v>
      </c>
      <c r="F597" s="33" t="s">
        <v>1114</v>
      </c>
    </row>
    <row r="598" ht="15.75" customHeight="1">
      <c r="A598" s="33" t="s">
        <v>70</v>
      </c>
      <c r="B598" s="33" t="s">
        <v>393</v>
      </c>
      <c r="C598" s="33" t="s">
        <v>393</v>
      </c>
      <c r="D598" s="33" t="s">
        <v>14</v>
      </c>
      <c r="E598" s="34">
        <v>150.0</v>
      </c>
      <c r="F598" s="33" t="s">
        <v>1115</v>
      </c>
    </row>
    <row r="599" ht="15.75" customHeight="1">
      <c r="A599" s="33" t="s">
        <v>70</v>
      </c>
      <c r="B599" s="33" t="s">
        <v>256</v>
      </c>
      <c r="C599" s="33" t="s">
        <v>792</v>
      </c>
      <c r="D599" s="33" t="s">
        <v>14</v>
      </c>
      <c r="E599" s="34">
        <v>1089.0</v>
      </c>
      <c r="F599" s="33" t="s">
        <v>793</v>
      </c>
    </row>
    <row r="600" ht="15.75" customHeight="1">
      <c r="A600" s="33" t="s">
        <v>70</v>
      </c>
      <c r="B600" s="33" t="s">
        <v>95</v>
      </c>
      <c r="C600" s="33" t="s">
        <v>538</v>
      </c>
      <c r="D600" s="33" t="s">
        <v>14</v>
      </c>
      <c r="E600" s="34">
        <v>10531.63</v>
      </c>
      <c r="F600" s="33" t="s">
        <v>539</v>
      </c>
    </row>
    <row r="601" ht="15.75" customHeight="1">
      <c r="A601" s="33" t="s">
        <v>70</v>
      </c>
      <c r="B601" s="33" t="s">
        <v>214</v>
      </c>
      <c r="C601" s="33" t="s">
        <v>214</v>
      </c>
      <c r="D601" s="33" t="s">
        <v>14</v>
      </c>
      <c r="E601" s="34">
        <v>906.0</v>
      </c>
      <c r="F601" s="33" t="s">
        <v>624</v>
      </c>
    </row>
    <row r="602" ht="15.75" customHeight="1">
      <c r="A602" s="33" t="s">
        <v>70</v>
      </c>
      <c r="B602" s="33" t="s">
        <v>116</v>
      </c>
      <c r="C602" s="33" t="s">
        <v>116</v>
      </c>
      <c r="D602" s="33" t="s">
        <v>20</v>
      </c>
      <c r="E602" s="34">
        <v>295.98</v>
      </c>
      <c r="F602" s="33" t="s">
        <v>1116</v>
      </c>
    </row>
    <row r="603" ht="15.75" customHeight="1">
      <c r="A603" s="33" t="s">
        <v>70</v>
      </c>
      <c r="B603" s="33" t="s">
        <v>351</v>
      </c>
      <c r="C603" s="33" t="s">
        <v>351</v>
      </c>
      <c r="D603" s="33" t="s">
        <v>38</v>
      </c>
      <c r="E603" s="34">
        <v>55.02</v>
      </c>
      <c r="F603" s="33" t="s">
        <v>770</v>
      </c>
    </row>
    <row r="604" ht="15.75" customHeight="1">
      <c r="A604" s="33" t="s">
        <v>70</v>
      </c>
      <c r="B604" s="33" t="s">
        <v>188</v>
      </c>
      <c r="C604" s="33" t="s">
        <v>739</v>
      </c>
      <c r="D604" s="33" t="s">
        <v>14</v>
      </c>
      <c r="E604" s="34">
        <v>6262.5</v>
      </c>
      <c r="F604" s="33" t="s">
        <v>1117</v>
      </c>
    </row>
    <row r="605" ht="15.75" customHeight="1">
      <c r="A605" s="33" t="s">
        <v>70</v>
      </c>
      <c r="B605" s="33" t="s">
        <v>117</v>
      </c>
      <c r="C605" s="33" t="s">
        <v>117</v>
      </c>
      <c r="D605" s="33" t="s">
        <v>14</v>
      </c>
      <c r="E605" s="34">
        <v>1476.0</v>
      </c>
      <c r="F605" s="33" t="s">
        <v>1118</v>
      </c>
    </row>
    <row r="606" ht="15.75" customHeight="1">
      <c r="A606" s="33" t="s">
        <v>70</v>
      </c>
      <c r="B606" s="33" t="s">
        <v>218</v>
      </c>
      <c r="C606" s="33" t="s">
        <v>553</v>
      </c>
      <c r="D606" s="33" t="s">
        <v>40</v>
      </c>
      <c r="E606" s="34">
        <v>215.25</v>
      </c>
      <c r="F606" s="33" t="s">
        <v>923</v>
      </c>
    </row>
    <row r="607" ht="15.75" customHeight="1">
      <c r="A607" s="33" t="s">
        <v>70</v>
      </c>
      <c r="B607" s="33" t="s">
        <v>306</v>
      </c>
      <c r="C607" s="33" t="s">
        <v>1119</v>
      </c>
      <c r="D607" s="33" t="s">
        <v>18</v>
      </c>
      <c r="E607" s="34">
        <v>925.61</v>
      </c>
      <c r="F607" s="33" t="s">
        <v>1120</v>
      </c>
    </row>
    <row r="608" ht="15.75" customHeight="1">
      <c r="A608" s="33" t="s">
        <v>70</v>
      </c>
      <c r="B608" s="33" t="s">
        <v>196</v>
      </c>
      <c r="C608" s="33" t="s">
        <v>196</v>
      </c>
      <c r="D608" s="33" t="s">
        <v>30</v>
      </c>
      <c r="E608" s="34">
        <v>75.6</v>
      </c>
      <c r="F608" s="33" t="s">
        <v>742</v>
      </c>
    </row>
    <row r="609" ht="15.75" customHeight="1">
      <c r="A609" s="33" t="s">
        <v>70</v>
      </c>
      <c r="B609" s="33" t="s">
        <v>35</v>
      </c>
      <c r="C609" s="33" t="s">
        <v>35</v>
      </c>
      <c r="D609" s="33" t="s">
        <v>22</v>
      </c>
      <c r="E609" s="34">
        <v>5361.01</v>
      </c>
      <c r="F609" s="33" t="s">
        <v>688</v>
      </c>
    </row>
    <row r="610" ht="15.75" customHeight="1">
      <c r="A610" s="33" t="s">
        <v>70</v>
      </c>
      <c r="B610" s="33" t="s">
        <v>145</v>
      </c>
      <c r="C610" s="33" t="s">
        <v>564</v>
      </c>
      <c r="D610" s="33" t="s">
        <v>14</v>
      </c>
      <c r="E610" s="34">
        <v>4966.87</v>
      </c>
      <c r="F610" s="33" t="s">
        <v>1121</v>
      </c>
    </row>
    <row r="611" ht="15.75" customHeight="1">
      <c r="A611" s="33" t="s">
        <v>70</v>
      </c>
      <c r="B611" s="33" t="s">
        <v>297</v>
      </c>
      <c r="C611" s="33" t="s">
        <v>297</v>
      </c>
      <c r="D611" s="33" t="s">
        <v>14</v>
      </c>
      <c r="E611" s="34">
        <v>2420.0</v>
      </c>
      <c r="F611" s="33" t="s">
        <v>1122</v>
      </c>
    </row>
    <row r="612" ht="15.75" customHeight="1">
      <c r="A612" s="33" t="s">
        <v>70</v>
      </c>
      <c r="B612" s="33" t="s">
        <v>99</v>
      </c>
      <c r="C612" s="33" t="s">
        <v>99</v>
      </c>
      <c r="D612" s="33" t="s">
        <v>16</v>
      </c>
      <c r="E612" s="34">
        <v>4970.0</v>
      </c>
      <c r="F612" s="33" t="s">
        <v>1061</v>
      </c>
    </row>
    <row r="613" ht="15.75" customHeight="1">
      <c r="A613" s="33" t="s">
        <v>70</v>
      </c>
      <c r="B613" s="33" t="s">
        <v>465</v>
      </c>
      <c r="C613" s="33" t="s">
        <v>465</v>
      </c>
      <c r="D613" s="33" t="s">
        <v>14</v>
      </c>
      <c r="E613" s="34">
        <v>20.0</v>
      </c>
      <c r="F613" s="33" t="s">
        <v>1123</v>
      </c>
    </row>
    <row r="614" ht="15.75" customHeight="1">
      <c r="A614" s="33" t="s">
        <v>70</v>
      </c>
      <c r="B614" s="33" t="s">
        <v>143</v>
      </c>
      <c r="C614" s="33" t="s">
        <v>1124</v>
      </c>
      <c r="D614" s="33" t="s">
        <v>14</v>
      </c>
      <c r="E614" s="34">
        <v>18996.14</v>
      </c>
      <c r="F614" s="33" t="s">
        <v>1125</v>
      </c>
    </row>
    <row r="615" ht="15.75" customHeight="1">
      <c r="A615" s="33" t="s">
        <v>70</v>
      </c>
      <c r="B615" s="33" t="s">
        <v>410</v>
      </c>
      <c r="C615" s="33" t="s">
        <v>577</v>
      </c>
      <c r="D615" s="33" t="s">
        <v>14</v>
      </c>
      <c r="E615" s="34">
        <v>45.64</v>
      </c>
      <c r="F615" s="33" t="s">
        <v>578</v>
      </c>
    </row>
    <row r="616" ht="15.75" customHeight="1">
      <c r="A616" s="33" t="s">
        <v>70</v>
      </c>
      <c r="B616" s="33" t="s">
        <v>128</v>
      </c>
      <c r="C616" s="33" t="s">
        <v>128</v>
      </c>
      <c r="D616" s="33" t="s">
        <v>22</v>
      </c>
      <c r="E616" s="34">
        <v>913.0</v>
      </c>
      <c r="F616" s="33" t="s">
        <v>1126</v>
      </c>
    </row>
    <row r="617" ht="15.75" customHeight="1">
      <c r="A617" s="33" t="s">
        <v>70</v>
      </c>
      <c r="B617" s="33" t="s">
        <v>254</v>
      </c>
      <c r="C617" s="33" t="s">
        <v>254</v>
      </c>
      <c r="D617" s="33" t="s">
        <v>14</v>
      </c>
      <c r="E617" s="34">
        <v>396.38</v>
      </c>
      <c r="F617" s="33" t="s">
        <v>1127</v>
      </c>
    </row>
    <row r="618" ht="15.75" customHeight="1">
      <c r="A618" s="33" t="s">
        <v>70</v>
      </c>
      <c r="B618" s="33" t="s">
        <v>144</v>
      </c>
      <c r="C618" s="33" t="s">
        <v>144</v>
      </c>
      <c r="D618" s="33" t="s">
        <v>18</v>
      </c>
      <c r="E618" s="34">
        <v>1321.32</v>
      </c>
      <c r="F618" s="33" t="s">
        <v>708</v>
      </c>
    </row>
    <row r="619" ht="15.75" customHeight="1">
      <c r="A619" s="33" t="s">
        <v>70</v>
      </c>
      <c r="B619" s="33" t="s">
        <v>360</v>
      </c>
      <c r="C619" s="33" t="s">
        <v>360</v>
      </c>
      <c r="D619" s="33" t="s">
        <v>14</v>
      </c>
      <c r="E619" s="34">
        <v>150.0</v>
      </c>
      <c r="F619" s="33" t="s">
        <v>1115</v>
      </c>
    </row>
    <row r="620" ht="15.75" customHeight="1">
      <c r="A620" s="33" t="s">
        <v>70</v>
      </c>
      <c r="B620" s="33" t="s">
        <v>103</v>
      </c>
      <c r="C620" s="33" t="s">
        <v>103</v>
      </c>
      <c r="D620" s="33" t="s">
        <v>30</v>
      </c>
      <c r="E620" s="34">
        <v>1438.8</v>
      </c>
      <c r="F620" s="33" t="s">
        <v>756</v>
      </c>
    </row>
    <row r="621" ht="15.75" customHeight="1">
      <c r="A621" s="33" t="s">
        <v>70</v>
      </c>
      <c r="B621" s="33" t="s">
        <v>229</v>
      </c>
      <c r="C621" s="33" t="s">
        <v>592</v>
      </c>
      <c r="D621" s="33" t="s">
        <v>14</v>
      </c>
      <c r="E621" s="34">
        <v>1000.0</v>
      </c>
      <c r="F621" s="33" t="s">
        <v>1128</v>
      </c>
    </row>
    <row r="622" ht="15.75" customHeight="1">
      <c r="A622" s="33" t="s">
        <v>70</v>
      </c>
      <c r="B622" s="33" t="s">
        <v>161</v>
      </c>
      <c r="C622" s="33" t="s">
        <v>596</v>
      </c>
      <c r="D622" s="33" t="s">
        <v>38</v>
      </c>
      <c r="E622" s="34">
        <v>270.06</v>
      </c>
      <c r="F622" s="33" t="s">
        <v>715</v>
      </c>
    </row>
    <row r="623" ht="15.75" customHeight="1">
      <c r="A623" s="33" t="s">
        <v>70</v>
      </c>
      <c r="B623" s="33" t="s">
        <v>338</v>
      </c>
      <c r="C623" s="33" t="s">
        <v>338</v>
      </c>
      <c r="D623" s="33" t="s">
        <v>16</v>
      </c>
      <c r="E623" s="34">
        <v>50.0</v>
      </c>
      <c r="F623" s="33" t="s">
        <v>720</v>
      </c>
    </row>
    <row r="624" ht="15.75" customHeight="1">
      <c r="A624" s="33" t="s">
        <v>70</v>
      </c>
      <c r="B624" s="33" t="s">
        <v>246</v>
      </c>
      <c r="C624" s="33" t="s">
        <v>246</v>
      </c>
      <c r="D624" s="33" t="s">
        <v>42</v>
      </c>
      <c r="E624" s="34">
        <v>240.0</v>
      </c>
      <c r="F624" s="33" t="s">
        <v>1129</v>
      </c>
    </row>
    <row r="625" ht="15.75" customHeight="1">
      <c r="A625" s="33" t="s">
        <v>70</v>
      </c>
      <c r="B625" s="33" t="s">
        <v>35</v>
      </c>
      <c r="C625" s="33" t="s">
        <v>35</v>
      </c>
      <c r="D625" s="33" t="s">
        <v>22</v>
      </c>
      <c r="E625" s="34">
        <v>12197.56</v>
      </c>
      <c r="F625" s="33" t="s">
        <v>561</v>
      </c>
    </row>
    <row r="626" ht="15.75" customHeight="1">
      <c r="A626" s="33" t="s">
        <v>70</v>
      </c>
      <c r="B626" s="33" t="s">
        <v>332</v>
      </c>
      <c r="C626" s="33" t="s">
        <v>332</v>
      </c>
      <c r="D626" s="33" t="s">
        <v>14</v>
      </c>
      <c r="E626" s="34">
        <v>1357.15</v>
      </c>
      <c r="F626" s="33" t="s">
        <v>1130</v>
      </c>
    </row>
    <row r="627" ht="15.75" customHeight="1">
      <c r="A627" s="33" t="s">
        <v>70</v>
      </c>
      <c r="B627" s="33" t="s">
        <v>152</v>
      </c>
      <c r="C627" s="33" t="s">
        <v>152</v>
      </c>
      <c r="D627" s="33" t="s">
        <v>18</v>
      </c>
      <c r="E627" s="34">
        <v>2022.5</v>
      </c>
      <c r="F627" s="33" t="s">
        <v>1131</v>
      </c>
    </row>
    <row r="628" ht="15.75" customHeight="1">
      <c r="A628" s="33" t="s">
        <v>70</v>
      </c>
      <c r="B628" s="33" t="s">
        <v>153</v>
      </c>
      <c r="C628" s="33" t="s">
        <v>153</v>
      </c>
      <c r="D628" s="33" t="s">
        <v>14</v>
      </c>
      <c r="E628" s="34">
        <v>2022.5</v>
      </c>
      <c r="F628" s="33" t="s">
        <v>1131</v>
      </c>
    </row>
    <row r="629" ht="15.75" customHeight="1">
      <c r="A629" s="33" t="s">
        <v>71</v>
      </c>
      <c r="B629" s="33" t="s">
        <v>484</v>
      </c>
      <c r="C629" s="33" t="s">
        <v>484</v>
      </c>
      <c r="D629" s="33" t="s">
        <v>14</v>
      </c>
      <c r="E629" s="34">
        <v>50.0</v>
      </c>
      <c r="F629" s="33" t="s">
        <v>1132</v>
      </c>
    </row>
    <row r="630" ht="15.75" customHeight="1">
      <c r="A630" s="33" t="s">
        <v>71</v>
      </c>
      <c r="B630" s="33" t="s">
        <v>323</v>
      </c>
      <c r="C630" s="33" t="s">
        <v>323</v>
      </c>
      <c r="D630" s="33" t="s">
        <v>14</v>
      </c>
      <c r="E630" s="34">
        <v>167.53</v>
      </c>
      <c r="F630" s="33" t="s">
        <v>1133</v>
      </c>
    </row>
    <row r="631" ht="15.75" customHeight="1">
      <c r="A631" s="33" t="s">
        <v>71</v>
      </c>
      <c r="B631" s="33" t="s">
        <v>272</v>
      </c>
      <c r="C631" s="33" t="s">
        <v>272</v>
      </c>
      <c r="D631" s="33" t="s">
        <v>14</v>
      </c>
      <c r="E631" s="34">
        <v>550.95</v>
      </c>
      <c r="F631" s="33" t="s">
        <v>1134</v>
      </c>
    </row>
    <row r="632" ht="15.75" customHeight="1">
      <c r="A632" s="33" t="s">
        <v>71</v>
      </c>
      <c r="B632" s="33" t="s">
        <v>116</v>
      </c>
      <c r="C632" s="33" t="s">
        <v>116</v>
      </c>
      <c r="D632" s="33" t="s">
        <v>20</v>
      </c>
      <c r="E632" s="34">
        <v>231.8</v>
      </c>
      <c r="F632" s="33" t="s">
        <v>956</v>
      </c>
    </row>
    <row r="633" ht="15.75" customHeight="1">
      <c r="A633" s="33" t="s">
        <v>71</v>
      </c>
      <c r="B633" s="33" t="s">
        <v>129</v>
      </c>
      <c r="C633" s="33" t="s">
        <v>1135</v>
      </c>
      <c r="D633" s="33" t="s">
        <v>36</v>
      </c>
      <c r="E633" s="34">
        <v>32332.19</v>
      </c>
      <c r="F633" s="33" t="s">
        <v>1136</v>
      </c>
    </row>
    <row r="634" ht="15.75" customHeight="1">
      <c r="A634" s="33" t="s">
        <v>71</v>
      </c>
      <c r="B634" s="33" t="s">
        <v>248</v>
      </c>
      <c r="C634" s="33" t="s">
        <v>248</v>
      </c>
      <c r="D634" s="33" t="s">
        <v>14</v>
      </c>
      <c r="E634" s="34">
        <v>64.93</v>
      </c>
      <c r="F634" s="33" t="s">
        <v>1137</v>
      </c>
    </row>
    <row r="635" ht="15.75" customHeight="1">
      <c r="A635" s="33" t="s">
        <v>71</v>
      </c>
      <c r="B635" s="33" t="s">
        <v>306</v>
      </c>
      <c r="C635" s="33" t="s">
        <v>1119</v>
      </c>
      <c r="D635" s="33" t="s">
        <v>18</v>
      </c>
      <c r="E635" s="34">
        <v>954.78</v>
      </c>
      <c r="F635" s="33" t="s">
        <v>1138</v>
      </c>
    </row>
    <row r="636" ht="15.75" customHeight="1">
      <c r="A636" s="33" t="s">
        <v>71</v>
      </c>
      <c r="B636" s="33" t="s">
        <v>175</v>
      </c>
      <c r="C636" s="33" t="s">
        <v>175</v>
      </c>
      <c r="D636" s="33" t="s">
        <v>14</v>
      </c>
      <c r="E636" s="34">
        <v>2100.0</v>
      </c>
      <c r="F636" s="33" t="s">
        <v>1139</v>
      </c>
    </row>
    <row r="637" ht="15.75" customHeight="1">
      <c r="A637" s="33" t="s">
        <v>71</v>
      </c>
      <c r="B637" s="33" t="s">
        <v>279</v>
      </c>
      <c r="C637" s="33" t="s">
        <v>279</v>
      </c>
      <c r="D637" s="33" t="s">
        <v>18</v>
      </c>
      <c r="E637" s="34">
        <v>495.48</v>
      </c>
      <c r="F637" s="33" t="s">
        <v>1140</v>
      </c>
    </row>
    <row r="638" ht="15.75" customHeight="1">
      <c r="A638" s="33" t="s">
        <v>71</v>
      </c>
      <c r="B638" s="33" t="s">
        <v>200</v>
      </c>
      <c r="C638" s="33" t="s">
        <v>1141</v>
      </c>
      <c r="D638" s="33" t="s">
        <v>14</v>
      </c>
      <c r="E638" s="34">
        <v>1092.09</v>
      </c>
      <c r="F638" s="33" t="s">
        <v>1142</v>
      </c>
    </row>
    <row r="639" ht="15.75" customHeight="1">
      <c r="A639" s="33" t="s">
        <v>71</v>
      </c>
      <c r="B639" s="33" t="s">
        <v>190</v>
      </c>
      <c r="C639" s="33" t="s">
        <v>190</v>
      </c>
      <c r="D639" s="33" t="s">
        <v>40</v>
      </c>
      <c r="E639" s="34">
        <v>257.58</v>
      </c>
      <c r="F639" s="33" t="s">
        <v>711</v>
      </c>
    </row>
    <row r="640" ht="15.75" customHeight="1">
      <c r="A640" s="33" t="s">
        <v>71</v>
      </c>
      <c r="B640" s="33" t="s">
        <v>130</v>
      </c>
      <c r="C640" s="33" t="s">
        <v>657</v>
      </c>
      <c r="D640" s="33" t="s">
        <v>14</v>
      </c>
      <c r="E640" s="34">
        <v>2193.75</v>
      </c>
      <c r="F640" s="33" t="s">
        <v>1143</v>
      </c>
    </row>
    <row r="641" ht="15.75" customHeight="1">
      <c r="A641" s="33" t="s">
        <v>71</v>
      </c>
      <c r="B641" s="33" t="s">
        <v>163</v>
      </c>
      <c r="C641" s="33" t="s">
        <v>163</v>
      </c>
      <c r="D641" s="33" t="s">
        <v>14</v>
      </c>
      <c r="E641" s="34">
        <v>866.59</v>
      </c>
      <c r="F641" s="33" t="s">
        <v>1144</v>
      </c>
    </row>
    <row r="642" ht="15.75" customHeight="1">
      <c r="A642" s="33" t="s">
        <v>71</v>
      </c>
      <c r="B642" s="33" t="s">
        <v>242</v>
      </c>
      <c r="C642" s="33" t="s">
        <v>242</v>
      </c>
      <c r="D642" s="33" t="s">
        <v>36</v>
      </c>
      <c r="E642" s="34">
        <v>681.71</v>
      </c>
      <c r="F642" s="33" t="s">
        <v>601</v>
      </c>
    </row>
    <row r="643" ht="15.75" customHeight="1">
      <c r="A643" s="33" t="s">
        <v>71</v>
      </c>
      <c r="B643" s="33" t="s">
        <v>246</v>
      </c>
      <c r="C643" s="33" t="s">
        <v>246</v>
      </c>
      <c r="D643" s="33" t="s">
        <v>42</v>
      </c>
      <c r="E643" s="34">
        <v>430.0</v>
      </c>
      <c r="F643" s="33" t="s">
        <v>1145</v>
      </c>
    </row>
    <row r="644" ht="15.75" customHeight="1">
      <c r="A644" s="33" t="s">
        <v>71</v>
      </c>
      <c r="B644" s="33" t="s">
        <v>91</v>
      </c>
      <c r="C644" s="33" t="s">
        <v>91</v>
      </c>
      <c r="D644" s="33" t="s">
        <v>32</v>
      </c>
      <c r="E644" s="34">
        <v>5006.6</v>
      </c>
      <c r="F644" s="33" t="s">
        <v>1146</v>
      </c>
    </row>
    <row r="645" ht="15.75" customHeight="1">
      <c r="A645" s="33" t="s">
        <v>71</v>
      </c>
      <c r="B645" s="33" t="s">
        <v>222</v>
      </c>
      <c r="C645" s="33" t="s">
        <v>664</v>
      </c>
      <c r="D645" s="33" t="s">
        <v>38</v>
      </c>
      <c r="E645" s="34">
        <v>770.37</v>
      </c>
      <c r="F645" s="33" t="s">
        <v>1147</v>
      </c>
    </row>
    <row r="646" ht="15.75" customHeight="1">
      <c r="A646" s="33" t="s">
        <v>71</v>
      </c>
      <c r="B646" s="33" t="s">
        <v>183</v>
      </c>
      <c r="C646" s="33" t="s">
        <v>183</v>
      </c>
      <c r="D646" s="33" t="s">
        <v>16</v>
      </c>
      <c r="E646" s="34">
        <v>615.82</v>
      </c>
      <c r="F646" s="33" t="s">
        <v>610</v>
      </c>
    </row>
    <row r="647" ht="15.75" customHeight="1">
      <c r="A647" s="33" t="s">
        <v>71</v>
      </c>
      <c r="B647" s="33" t="s">
        <v>122</v>
      </c>
      <c r="C647" s="33" t="s">
        <v>529</v>
      </c>
      <c r="D647" s="33" t="s">
        <v>20</v>
      </c>
      <c r="E647" s="34">
        <v>7290.4</v>
      </c>
      <c r="F647" s="33" t="s">
        <v>1148</v>
      </c>
    </row>
    <row r="648" ht="15.75" customHeight="1">
      <c r="A648" s="33" t="s">
        <v>71</v>
      </c>
      <c r="B648" s="33" t="s">
        <v>110</v>
      </c>
      <c r="C648" s="33" t="s">
        <v>110</v>
      </c>
      <c r="D648" s="33" t="s">
        <v>36</v>
      </c>
      <c r="E648" s="34">
        <v>4140.02</v>
      </c>
      <c r="F648" s="33" t="s">
        <v>1149</v>
      </c>
    </row>
    <row r="649" ht="15.75" customHeight="1">
      <c r="A649" s="33" t="s">
        <v>71</v>
      </c>
      <c r="B649" s="33" t="s">
        <v>19</v>
      </c>
      <c r="C649" s="33" t="s">
        <v>19</v>
      </c>
      <c r="D649" s="33" t="s">
        <v>16</v>
      </c>
      <c r="E649" s="34">
        <v>173376.18</v>
      </c>
      <c r="F649" s="33" t="s">
        <v>1150</v>
      </c>
    </row>
    <row r="650" ht="15.75" customHeight="1">
      <c r="A650" s="33" t="s">
        <v>71</v>
      </c>
      <c r="B650" s="33" t="s">
        <v>27</v>
      </c>
      <c r="C650" s="33" t="s">
        <v>829</v>
      </c>
      <c r="D650" s="33" t="s">
        <v>24</v>
      </c>
      <c r="E650" s="34">
        <v>100.0</v>
      </c>
      <c r="F650" s="33" t="s">
        <v>1151</v>
      </c>
    </row>
    <row r="651" ht="15.75" customHeight="1">
      <c r="A651" s="33" t="s">
        <v>71</v>
      </c>
      <c r="B651" s="33" t="s">
        <v>90</v>
      </c>
      <c r="C651" s="33" t="s">
        <v>536</v>
      </c>
      <c r="D651" s="33" t="s">
        <v>18</v>
      </c>
      <c r="E651" s="34">
        <v>2368.08</v>
      </c>
      <c r="F651" s="33" t="s">
        <v>1152</v>
      </c>
    </row>
    <row r="652" ht="15.75" customHeight="1">
      <c r="A652" s="33" t="s">
        <v>71</v>
      </c>
      <c r="B652" s="33" t="s">
        <v>490</v>
      </c>
      <c r="C652" s="33" t="s">
        <v>490</v>
      </c>
      <c r="D652" s="33" t="s">
        <v>14</v>
      </c>
      <c r="E652" s="34">
        <v>35.0</v>
      </c>
      <c r="F652" s="33" t="s">
        <v>950</v>
      </c>
    </row>
    <row r="653" ht="15.75" customHeight="1">
      <c r="A653" s="33" t="s">
        <v>71</v>
      </c>
      <c r="B653" s="33" t="s">
        <v>275</v>
      </c>
      <c r="C653" s="33" t="s">
        <v>1153</v>
      </c>
      <c r="D653" s="33" t="s">
        <v>30</v>
      </c>
      <c r="E653" s="34">
        <v>1705.2</v>
      </c>
      <c r="F653" s="33" t="s">
        <v>1154</v>
      </c>
    </row>
    <row r="654" ht="15.75" customHeight="1">
      <c r="A654" s="33" t="s">
        <v>71</v>
      </c>
      <c r="B654" s="33" t="s">
        <v>381</v>
      </c>
      <c r="C654" s="33" t="s">
        <v>1155</v>
      </c>
      <c r="D654" s="33" t="s">
        <v>14</v>
      </c>
      <c r="E654" s="34">
        <v>695.0</v>
      </c>
      <c r="F654" s="33" t="s">
        <v>1156</v>
      </c>
    </row>
    <row r="655" ht="15.75" customHeight="1">
      <c r="A655" s="33" t="s">
        <v>71</v>
      </c>
      <c r="B655" s="33" t="s">
        <v>250</v>
      </c>
      <c r="C655" s="33" t="s">
        <v>250</v>
      </c>
      <c r="D655" s="33" t="s">
        <v>14</v>
      </c>
      <c r="E655" s="34">
        <v>3051.0</v>
      </c>
      <c r="F655" s="33" t="s">
        <v>1157</v>
      </c>
    </row>
    <row r="656" ht="15.75" customHeight="1">
      <c r="A656" s="33" t="s">
        <v>71</v>
      </c>
      <c r="B656" s="33" t="s">
        <v>368</v>
      </c>
      <c r="C656" s="33" t="s">
        <v>368</v>
      </c>
      <c r="D656" s="33" t="s">
        <v>14</v>
      </c>
      <c r="E656" s="34">
        <v>125.0</v>
      </c>
      <c r="F656" s="33" t="s">
        <v>1158</v>
      </c>
    </row>
    <row r="657" ht="15.75" customHeight="1">
      <c r="A657" s="33" t="s">
        <v>71</v>
      </c>
      <c r="B657" s="33" t="s">
        <v>39</v>
      </c>
      <c r="C657" s="33" t="s">
        <v>39</v>
      </c>
      <c r="D657" s="33" t="s">
        <v>16</v>
      </c>
      <c r="E657" s="34">
        <v>536.21</v>
      </c>
      <c r="F657" s="33" t="s">
        <v>1159</v>
      </c>
    </row>
    <row r="658" ht="15.75" customHeight="1">
      <c r="A658" s="33" t="s">
        <v>71</v>
      </c>
      <c r="B658" s="33" t="s">
        <v>39</v>
      </c>
      <c r="C658" s="33" t="s">
        <v>39</v>
      </c>
      <c r="D658" s="33" t="s">
        <v>16</v>
      </c>
      <c r="E658" s="34">
        <v>2399.55</v>
      </c>
      <c r="F658" s="33" t="s">
        <v>1160</v>
      </c>
    </row>
    <row r="659" ht="15.75" customHeight="1">
      <c r="A659" s="33" t="s">
        <v>71</v>
      </c>
      <c r="B659" s="33" t="s">
        <v>329</v>
      </c>
      <c r="C659" s="33" t="s">
        <v>329</v>
      </c>
      <c r="D659" s="33" t="s">
        <v>14</v>
      </c>
      <c r="E659" s="34">
        <v>126.0</v>
      </c>
      <c r="F659" s="33" t="s">
        <v>648</v>
      </c>
    </row>
    <row r="660" ht="15.75" customHeight="1">
      <c r="A660" s="33" t="s">
        <v>71</v>
      </c>
      <c r="B660" s="33" t="s">
        <v>397</v>
      </c>
      <c r="C660" s="33" t="s">
        <v>397</v>
      </c>
      <c r="D660" s="33" t="s">
        <v>14</v>
      </c>
      <c r="E660" s="34">
        <v>124.95</v>
      </c>
      <c r="F660" s="33" t="s">
        <v>1158</v>
      </c>
    </row>
    <row r="661" ht="15.75" customHeight="1">
      <c r="A661" s="33" t="s">
        <v>71</v>
      </c>
      <c r="B661" s="33" t="s">
        <v>100</v>
      </c>
      <c r="C661" s="33" t="s">
        <v>626</v>
      </c>
      <c r="D661" s="33" t="s">
        <v>22</v>
      </c>
      <c r="E661" s="34">
        <v>37500.0</v>
      </c>
      <c r="F661" s="33" t="s">
        <v>1161</v>
      </c>
    </row>
    <row r="662" ht="15.75" customHeight="1">
      <c r="A662" s="33" t="s">
        <v>71</v>
      </c>
      <c r="B662" s="33" t="s">
        <v>351</v>
      </c>
      <c r="C662" s="33" t="s">
        <v>351</v>
      </c>
      <c r="D662" s="33" t="s">
        <v>38</v>
      </c>
      <c r="E662" s="34">
        <v>8.75</v>
      </c>
      <c r="F662" s="33" t="s">
        <v>770</v>
      </c>
    </row>
    <row r="663" ht="15.75" customHeight="1">
      <c r="A663" s="33" t="s">
        <v>71</v>
      </c>
      <c r="B663" s="33" t="s">
        <v>301</v>
      </c>
      <c r="C663" s="33" t="s">
        <v>547</v>
      </c>
      <c r="D663" s="33" t="s">
        <v>14</v>
      </c>
      <c r="E663" s="34">
        <v>618.6</v>
      </c>
      <c r="F663" s="33" t="s">
        <v>1162</v>
      </c>
    </row>
    <row r="664" ht="15.75" customHeight="1">
      <c r="A664" s="33" t="s">
        <v>71</v>
      </c>
      <c r="B664" s="33" t="s">
        <v>150</v>
      </c>
      <c r="C664" s="33" t="s">
        <v>551</v>
      </c>
      <c r="D664" s="33" t="s">
        <v>26</v>
      </c>
      <c r="E664" s="34">
        <v>1540.0</v>
      </c>
      <c r="F664" s="33" t="s">
        <v>1163</v>
      </c>
    </row>
    <row r="665" ht="15.75" customHeight="1">
      <c r="A665" s="33" t="s">
        <v>71</v>
      </c>
      <c r="B665" s="33" t="s">
        <v>218</v>
      </c>
      <c r="C665" s="33" t="s">
        <v>553</v>
      </c>
      <c r="D665" s="33" t="s">
        <v>40</v>
      </c>
      <c r="E665" s="34">
        <v>26.25</v>
      </c>
      <c r="F665" s="33" t="s">
        <v>741</v>
      </c>
    </row>
    <row r="666" ht="15.75" customHeight="1">
      <c r="A666" s="33" t="s">
        <v>71</v>
      </c>
      <c r="B666" s="33" t="s">
        <v>289</v>
      </c>
      <c r="C666" s="33" t="s">
        <v>555</v>
      </c>
      <c r="D666" s="33" t="s">
        <v>14</v>
      </c>
      <c r="E666" s="34">
        <v>297.49</v>
      </c>
      <c r="F666" s="33" t="s">
        <v>1164</v>
      </c>
    </row>
    <row r="667" ht="15.75" customHeight="1">
      <c r="A667" s="33" t="s">
        <v>71</v>
      </c>
      <c r="B667" s="33" t="s">
        <v>274</v>
      </c>
      <c r="C667" s="33" t="s">
        <v>274</v>
      </c>
      <c r="D667" s="33" t="s">
        <v>14</v>
      </c>
      <c r="E667" s="34">
        <v>945.0</v>
      </c>
      <c r="F667" s="33" t="s">
        <v>1165</v>
      </c>
    </row>
    <row r="668" ht="15.75" customHeight="1">
      <c r="A668" s="33" t="s">
        <v>71</v>
      </c>
      <c r="B668" s="33" t="s">
        <v>96</v>
      </c>
      <c r="C668" s="33" t="s">
        <v>925</v>
      </c>
      <c r="D668" s="33" t="s">
        <v>20</v>
      </c>
      <c r="E668" s="34">
        <v>3264.0</v>
      </c>
      <c r="F668" s="33" t="s">
        <v>1166</v>
      </c>
    </row>
    <row r="669" ht="15.75" customHeight="1">
      <c r="A669" s="33" t="s">
        <v>71</v>
      </c>
      <c r="B669" s="33" t="s">
        <v>145</v>
      </c>
      <c r="C669" s="33" t="s">
        <v>564</v>
      </c>
      <c r="D669" s="33" t="s">
        <v>14</v>
      </c>
      <c r="E669" s="34">
        <v>600.0</v>
      </c>
      <c r="F669" s="33" t="s">
        <v>1167</v>
      </c>
    </row>
    <row r="670" ht="15.75" customHeight="1">
      <c r="A670" s="33" t="s">
        <v>71</v>
      </c>
      <c r="B670" s="33" t="s">
        <v>249</v>
      </c>
      <c r="C670" s="33" t="s">
        <v>249</v>
      </c>
      <c r="D670" s="33" t="s">
        <v>14</v>
      </c>
      <c r="E670" s="34">
        <v>4756.54</v>
      </c>
      <c r="F670" s="33" t="s">
        <v>1168</v>
      </c>
    </row>
    <row r="671" ht="15.75" customHeight="1">
      <c r="A671" s="33" t="s">
        <v>71</v>
      </c>
      <c r="B671" s="33" t="s">
        <v>491</v>
      </c>
      <c r="C671" s="33" t="s">
        <v>491</v>
      </c>
      <c r="D671" s="33" t="s">
        <v>14</v>
      </c>
      <c r="E671" s="34">
        <v>35.0</v>
      </c>
      <c r="F671" s="33" t="s">
        <v>950</v>
      </c>
    </row>
    <row r="672" ht="15.75" customHeight="1">
      <c r="A672" s="33" t="s">
        <v>71</v>
      </c>
      <c r="B672" s="33" t="s">
        <v>446</v>
      </c>
      <c r="C672" s="33" t="s">
        <v>446</v>
      </c>
      <c r="D672" s="33" t="s">
        <v>14</v>
      </c>
      <c r="E672" s="34">
        <v>15.95</v>
      </c>
      <c r="F672" s="33" t="s">
        <v>1169</v>
      </c>
    </row>
    <row r="673" ht="15.75" customHeight="1">
      <c r="A673" s="33" t="s">
        <v>71</v>
      </c>
      <c r="B673" s="33" t="s">
        <v>93</v>
      </c>
      <c r="C673" s="33" t="s">
        <v>93</v>
      </c>
      <c r="D673" s="33" t="s">
        <v>16</v>
      </c>
      <c r="E673" s="34">
        <v>158.0</v>
      </c>
      <c r="F673" s="33" t="s">
        <v>1170</v>
      </c>
    </row>
    <row r="674" ht="15.75" customHeight="1">
      <c r="A674" s="33" t="s">
        <v>71</v>
      </c>
      <c r="B674" s="33" t="s">
        <v>467</v>
      </c>
      <c r="C674" s="33" t="s">
        <v>467</v>
      </c>
      <c r="D674" s="33" t="s">
        <v>14</v>
      </c>
      <c r="E674" s="34">
        <v>59.94</v>
      </c>
      <c r="F674" s="33" t="s">
        <v>1171</v>
      </c>
    </row>
    <row r="675" ht="15.75" customHeight="1">
      <c r="A675" s="33" t="s">
        <v>71</v>
      </c>
      <c r="B675" s="33" t="s">
        <v>294</v>
      </c>
      <c r="C675" s="33" t="s">
        <v>638</v>
      </c>
      <c r="D675" s="33" t="s">
        <v>14</v>
      </c>
      <c r="E675" s="34">
        <v>322.78</v>
      </c>
      <c r="F675" s="33" t="s">
        <v>1172</v>
      </c>
    </row>
    <row r="676" ht="15.75" customHeight="1">
      <c r="A676" s="33" t="s">
        <v>71</v>
      </c>
      <c r="B676" s="33" t="s">
        <v>384</v>
      </c>
      <c r="C676" s="33" t="s">
        <v>640</v>
      </c>
      <c r="D676" s="33" t="s">
        <v>14</v>
      </c>
      <c r="E676" s="34">
        <v>48.83</v>
      </c>
      <c r="F676" s="33" t="s">
        <v>641</v>
      </c>
    </row>
    <row r="677" ht="15.75" customHeight="1">
      <c r="A677" s="33" t="s">
        <v>71</v>
      </c>
      <c r="B677" s="33" t="s">
        <v>148</v>
      </c>
      <c r="C677" s="33" t="s">
        <v>751</v>
      </c>
      <c r="D677" s="33" t="s">
        <v>14</v>
      </c>
      <c r="E677" s="34">
        <v>125.0</v>
      </c>
      <c r="F677" s="33" t="s">
        <v>1173</v>
      </c>
    </row>
    <row r="678" ht="15.75" customHeight="1">
      <c r="A678" s="33" t="s">
        <v>71</v>
      </c>
      <c r="B678" s="33" t="s">
        <v>400</v>
      </c>
      <c r="C678" s="33" t="s">
        <v>400</v>
      </c>
      <c r="D678" s="33" t="s">
        <v>14</v>
      </c>
      <c r="E678" s="34">
        <v>125.0</v>
      </c>
      <c r="F678" s="33" t="s">
        <v>1174</v>
      </c>
    </row>
    <row r="679" ht="15.75" customHeight="1">
      <c r="A679" s="33" t="s">
        <v>71</v>
      </c>
      <c r="B679" s="33" t="s">
        <v>144</v>
      </c>
      <c r="C679" s="33" t="s">
        <v>144</v>
      </c>
      <c r="D679" s="33" t="s">
        <v>18</v>
      </c>
      <c r="E679" s="34">
        <v>501.08</v>
      </c>
      <c r="F679" s="33" t="s">
        <v>644</v>
      </c>
    </row>
    <row r="680" ht="15.75" customHeight="1">
      <c r="A680" s="33" t="s">
        <v>71</v>
      </c>
      <c r="B680" s="33" t="s">
        <v>189</v>
      </c>
      <c r="C680" s="33" t="s">
        <v>189</v>
      </c>
      <c r="D680" s="33" t="s">
        <v>14</v>
      </c>
      <c r="E680" s="34">
        <v>1376.4</v>
      </c>
      <c r="F680" s="33" t="s">
        <v>646</v>
      </c>
    </row>
    <row r="681" ht="15.75" customHeight="1">
      <c r="A681" s="33" t="s">
        <v>71</v>
      </c>
      <c r="B681" s="33" t="s">
        <v>233</v>
      </c>
      <c r="C681" s="33" t="s">
        <v>583</v>
      </c>
      <c r="D681" s="33" t="s">
        <v>14</v>
      </c>
      <c r="E681" s="34">
        <v>59.84</v>
      </c>
      <c r="F681" s="33" t="s">
        <v>1175</v>
      </c>
    </row>
    <row r="682" ht="15.75" customHeight="1">
      <c r="A682" s="33" t="s">
        <v>71</v>
      </c>
      <c r="B682" s="33" t="s">
        <v>162</v>
      </c>
      <c r="C682" s="33" t="s">
        <v>585</v>
      </c>
      <c r="D682" s="33" t="s">
        <v>14</v>
      </c>
      <c r="E682" s="34">
        <v>2068.32</v>
      </c>
      <c r="F682" s="33" t="s">
        <v>1176</v>
      </c>
    </row>
    <row r="683" ht="15.75" customHeight="1">
      <c r="A683" s="33" t="s">
        <v>71</v>
      </c>
      <c r="B683" s="33" t="s">
        <v>219</v>
      </c>
      <c r="C683" s="33" t="s">
        <v>219</v>
      </c>
      <c r="D683" s="33" t="s">
        <v>14</v>
      </c>
      <c r="E683" s="34">
        <v>3116.5</v>
      </c>
      <c r="F683" s="33" t="s">
        <v>1177</v>
      </c>
    </row>
    <row r="684" ht="15.75" customHeight="1">
      <c r="A684" s="33" t="s">
        <v>71</v>
      </c>
      <c r="B684" s="33" t="s">
        <v>360</v>
      </c>
      <c r="C684" s="33" t="s">
        <v>360</v>
      </c>
      <c r="D684" s="33" t="s">
        <v>14</v>
      </c>
      <c r="E684" s="34">
        <v>150.0</v>
      </c>
      <c r="F684" s="33" t="s">
        <v>1178</v>
      </c>
    </row>
    <row r="685" ht="15.75" customHeight="1">
      <c r="A685" s="33" t="s">
        <v>71</v>
      </c>
      <c r="B685" s="33" t="s">
        <v>103</v>
      </c>
      <c r="C685" s="33" t="s">
        <v>103</v>
      </c>
      <c r="D685" s="33" t="s">
        <v>30</v>
      </c>
      <c r="E685" s="34">
        <v>95.0</v>
      </c>
      <c r="F685" s="33" t="s">
        <v>1179</v>
      </c>
    </row>
    <row r="686" ht="15.75" customHeight="1">
      <c r="A686" s="33" t="s">
        <v>71</v>
      </c>
      <c r="B686" s="33" t="s">
        <v>121</v>
      </c>
      <c r="C686" s="33" t="s">
        <v>121</v>
      </c>
      <c r="D686" s="33" t="s">
        <v>14</v>
      </c>
      <c r="E686" s="34">
        <v>5200.0</v>
      </c>
      <c r="F686" s="33" t="s">
        <v>1180</v>
      </c>
    </row>
    <row r="687" ht="15.75" customHeight="1">
      <c r="A687" s="33" t="s">
        <v>71</v>
      </c>
      <c r="B687" s="33" t="s">
        <v>29</v>
      </c>
      <c r="C687" s="33" t="s">
        <v>29</v>
      </c>
      <c r="D687" s="33" t="s">
        <v>28</v>
      </c>
      <c r="E687" s="34">
        <v>28556.52</v>
      </c>
      <c r="F687" s="33" t="s">
        <v>1181</v>
      </c>
    </row>
    <row r="688" ht="15.75" customHeight="1">
      <c r="A688" s="33" t="s">
        <v>71</v>
      </c>
      <c r="B688" s="33" t="s">
        <v>133</v>
      </c>
      <c r="C688" s="33" t="s">
        <v>1182</v>
      </c>
      <c r="D688" s="33" t="s">
        <v>20</v>
      </c>
      <c r="E688" s="34">
        <v>3387.2</v>
      </c>
      <c r="F688" s="33" t="s">
        <v>1183</v>
      </c>
    </row>
    <row r="689" ht="15.75" customHeight="1">
      <c r="A689" s="33" t="s">
        <v>71</v>
      </c>
      <c r="B689" s="33" t="s">
        <v>261</v>
      </c>
      <c r="C689" s="33" t="s">
        <v>1107</v>
      </c>
      <c r="D689" s="33" t="s">
        <v>14</v>
      </c>
      <c r="E689" s="34">
        <v>254.0</v>
      </c>
      <c r="F689" s="33" t="s">
        <v>1184</v>
      </c>
    </row>
    <row r="690" ht="15.75" customHeight="1">
      <c r="A690" s="33" t="s">
        <v>71</v>
      </c>
      <c r="B690" s="33" t="s">
        <v>161</v>
      </c>
      <c r="C690" s="33" t="s">
        <v>596</v>
      </c>
      <c r="D690" s="33" t="s">
        <v>38</v>
      </c>
      <c r="E690" s="34">
        <v>404.67</v>
      </c>
      <c r="F690" s="33" t="s">
        <v>652</v>
      </c>
    </row>
    <row r="691" ht="15.75" customHeight="1">
      <c r="A691" s="33" t="s">
        <v>71</v>
      </c>
      <c r="B691" s="33" t="s">
        <v>382</v>
      </c>
      <c r="C691" s="33" t="s">
        <v>382</v>
      </c>
      <c r="D691" s="33" t="s">
        <v>36</v>
      </c>
      <c r="E691" s="34">
        <v>51.37</v>
      </c>
      <c r="F691" s="33" t="s">
        <v>1185</v>
      </c>
    </row>
    <row r="692" ht="15.75" customHeight="1">
      <c r="A692" s="33" t="s">
        <v>71</v>
      </c>
      <c r="B692" s="33" t="s">
        <v>243</v>
      </c>
      <c r="C692" s="33" t="s">
        <v>243</v>
      </c>
      <c r="D692" s="33" t="s">
        <v>14</v>
      </c>
      <c r="E692" s="34">
        <v>336.0</v>
      </c>
      <c r="F692" s="33" t="s">
        <v>1186</v>
      </c>
    </row>
    <row r="693" ht="15.75" customHeight="1">
      <c r="A693" s="33" t="s">
        <v>71</v>
      </c>
      <c r="B693" s="33" t="s">
        <v>246</v>
      </c>
      <c r="C693" s="33" t="s">
        <v>246</v>
      </c>
      <c r="D693" s="33" t="s">
        <v>42</v>
      </c>
      <c r="E693" s="34">
        <v>180.0</v>
      </c>
      <c r="F693" s="33" t="s">
        <v>1187</v>
      </c>
    </row>
    <row r="694" ht="15.75" customHeight="1">
      <c r="A694" s="33" t="s">
        <v>71</v>
      </c>
      <c r="B694" s="33" t="s">
        <v>449</v>
      </c>
      <c r="C694" s="33" t="s">
        <v>1188</v>
      </c>
      <c r="D694" s="33" t="s">
        <v>14</v>
      </c>
      <c r="E694" s="34">
        <v>128.96</v>
      </c>
      <c r="F694" s="33" t="s">
        <v>1189</v>
      </c>
    </row>
    <row r="695" ht="15.75" customHeight="1">
      <c r="A695" s="33" t="s">
        <v>71</v>
      </c>
      <c r="B695" s="33" t="s">
        <v>91</v>
      </c>
      <c r="C695" s="33" t="s">
        <v>91</v>
      </c>
      <c r="D695" s="33" t="s">
        <v>32</v>
      </c>
      <c r="E695" s="34">
        <v>13485.4</v>
      </c>
      <c r="F695" s="33" t="s">
        <v>1190</v>
      </c>
    </row>
    <row r="696" ht="15.75" customHeight="1">
      <c r="A696" s="33" t="s">
        <v>71</v>
      </c>
      <c r="B696" s="33" t="s">
        <v>402</v>
      </c>
      <c r="C696" s="33" t="s">
        <v>1191</v>
      </c>
      <c r="D696" s="33" t="s">
        <v>14</v>
      </c>
      <c r="E696" s="34">
        <v>505.0</v>
      </c>
      <c r="F696" s="33" t="s">
        <v>1192</v>
      </c>
    </row>
    <row r="697" ht="15.75" customHeight="1">
      <c r="A697" s="33" t="s">
        <v>71</v>
      </c>
      <c r="B697" s="33" t="s">
        <v>102</v>
      </c>
      <c r="C697" s="33" t="s">
        <v>615</v>
      </c>
      <c r="D697" s="33" t="s">
        <v>14</v>
      </c>
      <c r="E697" s="34">
        <v>10238.92</v>
      </c>
      <c r="F697" s="33" t="s">
        <v>616</v>
      </c>
    </row>
    <row r="698" ht="15.75" customHeight="1">
      <c r="A698" s="33" t="s">
        <v>71</v>
      </c>
      <c r="B698" s="33" t="s">
        <v>113</v>
      </c>
      <c r="C698" s="33" t="s">
        <v>540</v>
      </c>
      <c r="D698" s="33" t="s">
        <v>14</v>
      </c>
      <c r="E698" s="34">
        <v>4078.19</v>
      </c>
      <c r="F698" s="33" t="s">
        <v>1193</v>
      </c>
    </row>
    <row r="699" ht="15.75" customHeight="1">
      <c r="A699" s="33" t="s">
        <v>71</v>
      </c>
      <c r="B699" s="33" t="s">
        <v>291</v>
      </c>
      <c r="C699" s="33" t="s">
        <v>291</v>
      </c>
      <c r="D699" s="33" t="s">
        <v>38</v>
      </c>
      <c r="E699" s="34">
        <v>126.05</v>
      </c>
      <c r="F699" s="33" t="s">
        <v>623</v>
      </c>
    </row>
    <row r="700" ht="15.75" customHeight="1">
      <c r="A700" s="33" t="s">
        <v>71</v>
      </c>
      <c r="B700" s="33" t="s">
        <v>366</v>
      </c>
      <c r="C700" s="33" t="s">
        <v>366</v>
      </c>
      <c r="D700" s="33" t="s">
        <v>38</v>
      </c>
      <c r="E700" s="34">
        <v>181.05</v>
      </c>
      <c r="F700" s="33" t="s">
        <v>1194</v>
      </c>
    </row>
    <row r="701" ht="15.75" customHeight="1">
      <c r="A701" s="33" t="s">
        <v>71</v>
      </c>
      <c r="B701" s="33" t="s">
        <v>127</v>
      </c>
      <c r="C701" s="33" t="s">
        <v>127</v>
      </c>
      <c r="D701" s="33" t="s">
        <v>36</v>
      </c>
      <c r="E701" s="34">
        <v>1468.84</v>
      </c>
      <c r="F701" s="33" t="s">
        <v>1195</v>
      </c>
    </row>
    <row r="702" ht="15.75" customHeight="1">
      <c r="A702" s="33" t="s">
        <v>71</v>
      </c>
      <c r="B702" s="33" t="s">
        <v>247</v>
      </c>
      <c r="C702" s="33" t="s">
        <v>961</v>
      </c>
      <c r="D702" s="33" t="s">
        <v>14</v>
      </c>
      <c r="E702" s="34">
        <v>88.0</v>
      </c>
      <c r="F702" s="33" t="s">
        <v>1196</v>
      </c>
    </row>
    <row r="703" ht="15.75" customHeight="1">
      <c r="A703" s="33" t="s">
        <v>71</v>
      </c>
      <c r="B703" s="33" t="s">
        <v>482</v>
      </c>
      <c r="C703" s="33" t="s">
        <v>482</v>
      </c>
      <c r="D703" s="33" t="s">
        <v>18</v>
      </c>
      <c r="E703" s="34">
        <v>83.99</v>
      </c>
      <c r="F703" s="33" t="s">
        <v>1197</v>
      </c>
    </row>
    <row r="704" ht="15.75" customHeight="1">
      <c r="A704" s="33" t="s">
        <v>71</v>
      </c>
      <c r="B704" s="33" t="s">
        <v>124</v>
      </c>
      <c r="C704" s="33" t="s">
        <v>557</v>
      </c>
      <c r="D704" s="33" t="s">
        <v>14</v>
      </c>
      <c r="E704" s="34">
        <v>1012.5</v>
      </c>
      <c r="F704" s="33" t="s">
        <v>1198</v>
      </c>
    </row>
    <row r="705" ht="15.75" customHeight="1">
      <c r="A705" s="33" t="s">
        <v>71</v>
      </c>
      <c r="B705" s="33" t="s">
        <v>96</v>
      </c>
      <c r="C705" s="33" t="s">
        <v>925</v>
      </c>
      <c r="D705" s="33" t="s">
        <v>20</v>
      </c>
      <c r="E705" s="34">
        <v>12105.28</v>
      </c>
      <c r="F705" s="33" t="s">
        <v>1199</v>
      </c>
    </row>
    <row r="706" ht="15.75" customHeight="1">
      <c r="A706" s="33" t="s">
        <v>71</v>
      </c>
      <c r="B706" s="33" t="s">
        <v>320</v>
      </c>
      <c r="C706" s="33" t="s">
        <v>320</v>
      </c>
      <c r="D706" s="33" t="s">
        <v>14</v>
      </c>
      <c r="E706" s="34">
        <v>750.0</v>
      </c>
      <c r="F706" s="33" t="s">
        <v>1200</v>
      </c>
    </row>
    <row r="707" ht="15.75" customHeight="1">
      <c r="A707" s="33" t="s">
        <v>71</v>
      </c>
      <c r="B707" s="33" t="s">
        <v>99</v>
      </c>
      <c r="C707" s="33" t="s">
        <v>99</v>
      </c>
      <c r="D707" s="33" t="s">
        <v>16</v>
      </c>
      <c r="E707" s="34">
        <v>4970.0</v>
      </c>
      <c r="F707" s="33" t="s">
        <v>704</v>
      </c>
    </row>
    <row r="708" ht="15.75" customHeight="1">
      <c r="A708" s="33" t="s">
        <v>71</v>
      </c>
      <c r="B708" s="33" t="s">
        <v>437</v>
      </c>
      <c r="C708" s="33" t="s">
        <v>437</v>
      </c>
      <c r="D708" s="33" t="s">
        <v>14</v>
      </c>
      <c r="E708" s="34">
        <v>142.43</v>
      </c>
      <c r="F708" s="33" t="s">
        <v>1201</v>
      </c>
    </row>
    <row r="709" ht="15.75" customHeight="1">
      <c r="A709" s="33" t="s">
        <v>71</v>
      </c>
      <c r="B709" s="33" t="s">
        <v>189</v>
      </c>
      <c r="C709" s="33" t="s">
        <v>189</v>
      </c>
      <c r="D709" s="33" t="s">
        <v>14</v>
      </c>
      <c r="E709" s="34">
        <v>663.6</v>
      </c>
      <c r="F709" s="33" t="s">
        <v>1202</v>
      </c>
    </row>
    <row r="710" ht="15.75" customHeight="1">
      <c r="A710" s="33" t="s">
        <v>71</v>
      </c>
      <c r="B710" s="33" t="s">
        <v>239</v>
      </c>
      <c r="C710" s="33" t="s">
        <v>814</v>
      </c>
      <c r="D710" s="33" t="s">
        <v>18</v>
      </c>
      <c r="E710" s="34">
        <v>46.0</v>
      </c>
      <c r="F710" s="33" t="s">
        <v>1203</v>
      </c>
    </row>
    <row r="711" ht="15.75" customHeight="1">
      <c r="A711" s="33" t="s">
        <v>71</v>
      </c>
      <c r="B711" s="33" t="s">
        <v>162</v>
      </c>
      <c r="C711" s="33" t="s">
        <v>585</v>
      </c>
      <c r="D711" s="33" t="s">
        <v>14</v>
      </c>
      <c r="E711" s="34">
        <v>469.0</v>
      </c>
      <c r="F711" s="33" t="s">
        <v>1204</v>
      </c>
    </row>
    <row r="712" ht="15.75" customHeight="1">
      <c r="A712" s="33" t="s">
        <v>71</v>
      </c>
      <c r="B712" s="33" t="s">
        <v>121</v>
      </c>
      <c r="C712" s="33" t="s">
        <v>121</v>
      </c>
      <c r="D712" s="33" t="s">
        <v>14</v>
      </c>
      <c r="E712" s="34">
        <v>2868.0</v>
      </c>
      <c r="F712" s="33" t="s">
        <v>1205</v>
      </c>
    </row>
    <row r="713" ht="15.75" customHeight="1">
      <c r="A713" s="33" t="s">
        <v>71</v>
      </c>
      <c r="B713" s="33" t="s">
        <v>43</v>
      </c>
      <c r="C713" s="33" t="s">
        <v>43</v>
      </c>
      <c r="D713" s="33" t="s">
        <v>18</v>
      </c>
      <c r="E713" s="34">
        <v>928.62</v>
      </c>
      <c r="F713" s="33" t="s">
        <v>1206</v>
      </c>
    </row>
    <row r="714" ht="15.75" customHeight="1">
      <c r="A714" s="33" t="s">
        <v>71</v>
      </c>
      <c r="B714" s="33" t="s">
        <v>161</v>
      </c>
      <c r="C714" s="33" t="s">
        <v>596</v>
      </c>
      <c r="D714" s="33" t="s">
        <v>38</v>
      </c>
      <c r="E714" s="34">
        <v>135.03</v>
      </c>
      <c r="F714" s="33" t="s">
        <v>715</v>
      </c>
    </row>
    <row r="715" ht="15.75" customHeight="1">
      <c r="A715" s="33" t="s">
        <v>71</v>
      </c>
      <c r="B715" s="33" t="s">
        <v>179</v>
      </c>
      <c r="C715" s="33" t="s">
        <v>716</v>
      </c>
      <c r="D715" s="33" t="s">
        <v>14</v>
      </c>
      <c r="E715" s="34">
        <v>105.58</v>
      </c>
      <c r="F715" s="33" t="s">
        <v>717</v>
      </c>
    </row>
    <row r="716" ht="15.75" customHeight="1">
      <c r="A716" s="33" t="s">
        <v>71</v>
      </c>
      <c r="B716" s="33" t="s">
        <v>338</v>
      </c>
      <c r="C716" s="33" t="s">
        <v>338</v>
      </c>
      <c r="D716" s="33" t="s">
        <v>16</v>
      </c>
      <c r="E716" s="34">
        <v>50.0</v>
      </c>
      <c r="F716" s="33" t="s">
        <v>720</v>
      </c>
    </row>
    <row r="717" ht="15.75" customHeight="1">
      <c r="A717" s="33" t="s">
        <v>71</v>
      </c>
      <c r="B717" s="33" t="s">
        <v>180</v>
      </c>
      <c r="C717" s="33" t="s">
        <v>180</v>
      </c>
      <c r="D717" s="33" t="s">
        <v>36</v>
      </c>
      <c r="E717" s="34">
        <v>865.2</v>
      </c>
      <c r="F717" s="33" t="s">
        <v>1207</v>
      </c>
    </row>
    <row r="718" ht="15.75" customHeight="1">
      <c r="A718" s="33" t="s">
        <v>71</v>
      </c>
      <c r="B718" s="33" t="s">
        <v>369</v>
      </c>
      <c r="C718" s="33" t="s">
        <v>369</v>
      </c>
      <c r="D718" s="33" t="s">
        <v>36</v>
      </c>
      <c r="E718" s="34">
        <v>61.14</v>
      </c>
      <c r="F718" s="33" t="s">
        <v>1208</v>
      </c>
    </row>
    <row r="719" ht="15.75" customHeight="1">
      <c r="A719" s="33" t="s">
        <v>72</v>
      </c>
      <c r="B719" s="33" t="s">
        <v>25</v>
      </c>
      <c r="C719" s="33" t="s">
        <v>1209</v>
      </c>
      <c r="D719" s="33" t="s">
        <v>18</v>
      </c>
      <c r="E719" s="34">
        <v>157579.0</v>
      </c>
      <c r="F719" s="33" t="s">
        <v>1210</v>
      </c>
    </row>
    <row r="720" ht="15.75" customHeight="1">
      <c r="A720" s="33" t="s">
        <v>72</v>
      </c>
      <c r="B720" s="33" t="s">
        <v>197</v>
      </c>
      <c r="C720" s="33" t="s">
        <v>197</v>
      </c>
      <c r="D720" s="33" t="s">
        <v>14</v>
      </c>
      <c r="E720" s="34">
        <v>916.63</v>
      </c>
      <c r="F720" s="33" t="s">
        <v>1211</v>
      </c>
    </row>
    <row r="721" ht="15.75" customHeight="1">
      <c r="A721" s="33" t="s">
        <v>72</v>
      </c>
      <c r="B721" s="33" t="s">
        <v>27</v>
      </c>
      <c r="C721" s="33" t="s">
        <v>829</v>
      </c>
      <c r="D721" s="33" t="s">
        <v>24</v>
      </c>
      <c r="E721" s="34">
        <v>205000.0</v>
      </c>
      <c r="F721" s="33" t="s">
        <v>1212</v>
      </c>
    </row>
    <row r="722" ht="15.75" customHeight="1">
      <c r="A722" s="33" t="s">
        <v>72</v>
      </c>
      <c r="B722" s="33" t="s">
        <v>23</v>
      </c>
      <c r="C722" s="33" t="s">
        <v>1213</v>
      </c>
      <c r="D722" s="33" t="s">
        <v>24</v>
      </c>
      <c r="E722" s="34">
        <v>499000.0</v>
      </c>
      <c r="F722" s="33" t="s">
        <v>1214</v>
      </c>
    </row>
    <row r="723" ht="15.75" customHeight="1">
      <c r="A723" s="33" t="s">
        <v>72</v>
      </c>
      <c r="B723" s="33" t="s">
        <v>319</v>
      </c>
      <c r="C723" s="33" t="s">
        <v>319</v>
      </c>
      <c r="D723" s="33" t="s">
        <v>14</v>
      </c>
      <c r="E723" s="34">
        <v>150.0</v>
      </c>
      <c r="F723" s="33" t="s">
        <v>1215</v>
      </c>
    </row>
    <row r="724" ht="15.75" customHeight="1">
      <c r="A724" s="33" t="s">
        <v>72</v>
      </c>
      <c r="B724" s="33" t="s">
        <v>172</v>
      </c>
      <c r="C724" s="33" t="s">
        <v>1216</v>
      </c>
      <c r="D724" s="33" t="s">
        <v>14</v>
      </c>
      <c r="E724" s="34">
        <v>5720.0</v>
      </c>
      <c r="F724" s="33" t="s">
        <v>1217</v>
      </c>
    </row>
    <row r="725" ht="15.75" customHeight="1">
      <c r="A725" s="33" t="s">
        <v>72</v>
      </c>
      <c r="B725" s="33" t="s">
        <v>411</v>
      </c>
      <c r="C725" s="33" t="s">
        <v>411</v>
      </c>
      <c r="D725" s="33" t="s">
        <v>40</v>
      </c>
      <c r="E725" s="34">
        <v>145.62</v>
      </c>
      <c r="F725" s="33" t="s">
        <v>1218</v>
      </c>
    </row>
    <row r="726" ht="15.75" customHeight="1">
      <c r="A726" s="33" t="s">
        <v>72</v>
      </c>
      <c r="B726" s="33" t="s">
        <v>222</v>
      </c>
      <c r="C726" s="33" t="s">
        <v>664</v>
      </c>
      <c r="D726" s="33" t="s">
        <v>38</v>
      </c>
      <c r="E726" s="34">
        <v>552.09</v>
      </c>
      <c r="F726" s="33" t="s">
        <v>1219</v>
      </c>
    </row>
    <row r="727" ht="15.75" customHeight="1">
      <c r="A727" s="33" t="s">
        <v>72</v>
      </c>
      <c r="B727" s="33" t="s">
        <v>199</v>
      </c>
      <c r="C727" s="33" t="s">
        <v>668</v>
      </c>
      <c r="D727" s="33" t="s">
        <v>14</v>
      </c>
      <c r="E727" s="34">
        <v>7327.5</v>
      </c>
      <c r="F727" s="33" t="s">
        <v>1220</v>
      </c>
    </row>
    <row r="728" ht="15.75" customHeight="1">
      <c r="A728" s="33" t="s">
        <v>72</v>
      </c>
      <c r="B728" s="33" t="s">
        <v>139</v>
      </c>
      <c r="C728" s="33" t="s">
        <v>732</v>
      </c>
      <c r="D728" s="33" t="s">
        <v>14</v>
      </c>
      <c r="E728" s="34">
        <v>1838.0</v>
      </c>
      <c r="F728" s="33" t="s">
        <v>1221</v>
      </c>
    </row>
    <row r="729" ht="15.75" customHeight="1">
      <c r="A729" s="33" t="s">
        <v>72</v>
      </c>
      <c r="B729" s="33" t="s">
        <v>95</v>
      </c>
      <c r="C729" s="33" t="s">
        <v>538</v>
      </c>
      <c r="D729" s="33" t="s">
        <v>14</v>
      </c>
      <c r="E729" s="34">
        <v>10599.65</v>
      </c>
      <c r="F729" s="33" t="s">
        <v>539</v>
      </c>
    </row>
    <row r="730" ht="15.75" customHeight="1">
      <c r="A730" s="33" t="s">
        <v>72</v>
      </c>
      <c r="B730" s="33" t="s">
        <v>142</v>
      </c>
      <c r="C730" s="33" t="s">
        <v>142</v>
      </c>
      <c r="D730" s="33" t="s">
        <v>36</v>
      </c>
      <c r="E730" s="34">
        <v>1992.4</v>
      </c>
      <c r="F730" s="33" t="s">
        <v>543</v>
      </c>
    </row>
    <row r="731" ht="15.75" customHeight="1">
      <c r="A731" s="33" t="s">
        <v>72</v>
      </c>
      <c r="B731" s="33" t="s">
        <v>41</v>
      </c>
      <c r="C731" s="33" t="s">
        <v>873</v>
      </c>
      <c r="D731" s="33" t="s">
        <v>14</v>
      </c>
      <c r="E731" s="34">
        <v>27246.92</v>
      </c>
      <c r="F731" s="33" t="s">
        <v>1222</v>
      </c>
    </row>
    <row r="732" ht="15.75" customHeight="1">
      <c r="A732" s="33" t="s">
        <v>72</v>
      </c>
      <c r="B732" s="33" t="s">
        <v>100</v>
      </c>
      <c r="C732" s="33" t="s">
        <v>626</v>
      </c>
      <c r="D732" s="33" t="s">
        <v>22</v>
      </c>
      <c r="E732" s="34">
        <v>22777.07</v>
      </c>
      <c r="F732" s="33" t="s">
        <v>1223</v>
      </c>
    </row>
    <row r="733" ht="15.75" customHeight="1">
      <c r="A733" s="33" t="s">
        <v>72</v>
      </c>
      <c r="B733" s="33" t="s">
        <v>188</v>
      </c>
      <c r="C733" s="33" t="s">
        <v>739</v>
      </c>
      <c r="D733" s="33" t="s">
        <v>14</v>
      </c>
      <c r="E733" s="34">
        <v>2125.0</v>
      </c>
      <c r="F733" s="33" t="s">
        <v>1224</v>
      </c>
    </row>
    <row r="734" ht="15.75" customHeight="1">
      <c r="A734" s="33" t="s">
        <v>72</v>
      </c>
      <c r="B734" s="33" t="s">
        <v>248</v>
      </c>
      <c r="C734" s="33" t="s">
        <v>248</v>
      </c>
      <c r="D734" s="33" t="s">
        <v>14</v>
      </c>
      <c r="E734" s="34">
        <v>302.4</v>
      </c>
      <c r="F734" s="33" t="s">
        <v>1225</v>
      </c>
    </row>
    <row r="735" ht="15.75" customHeight="1">
      <c r="A735" s="33" t="s">
        <v>72</v>
      </c>
      <c r="B735" s="33" t="s">
        <v>218</v>
      </c>
      <c r="C735" s="33" t="s">
        <v>553</v>
      </c>
      <c r="D735" s="33" t="s">
        <v>40</v>
      </c>
      <c r="E735" s="34">
        <v>407.5</v>
      </c>
      <c r="F735" s="33" t="s">
        <v>1226</v>
      </c>
    </row>
    <row r="736" ht="15.75" customHeight="1">
      <c r="A736" s="33" t="s">
        <v>72</v>
      </c>
      <c r="B736" s="33" t="s">
        <v>289</v>
      </c>
      <c r="C736" s="33" t="s">
        <v>555</v>
      </c>
      <c r="D736" s="33" t="s">
        <v>14</v>
      </c>
      <c r="E736" s="34">
        <v>1805.57</v>
      </c>
      <c r="F736" s="33" t="s">
        <v>1227</v>
      </c>
    </row>
    <row r="737" ht="15.75" customHeight="1">
      <c r="A737" s="33" t="s">
        <v>72</v>
      </c>
      <c r="B737" s="33" t="s">
        <v>124</v>
      </c>
      <c r="C737" s="33" t="s">
        <v>557</v>
      </c>
      <c r="D737" s="33" t="s">
        <v>14</v>
      </c>
      <c r="E737" s="34">
        <v>13336.0</v>
      </c>
      <c r="F737" s="33" t="s">
        <v>1228</v>
      </c>
    </row>
    <row r="738" ht="15.75" customHeight="1">
      <c r="A738" s="33" t="s">
        <v>72</v>
      </c>
      <c r="B738" s="33" t="s">
        <v>196</v>
      </c>
      <c r="C738" s="33" t="s">
        <v>196</v>
      </c>
      <c r="D738" s="33" t="s">
        <v>30</v>
      </c>
      <c r="E738" s="34">
        <v>75.6</v>
      </c>
      <c r="F738" s="33" t="s">
        <v>1229</v>
      </c>
    </row>
    <row r="739" ht="15.75" customHeight="1">
      <c r="A739" s="33" t="s">
        <v>72</v>
      </c>
      <c r="B739" s="33" t="s">
        <v>136</v>
      </c>
      <c r="C739" s="33" t="s">
        <v>136</v>
      </c>
      <c r="D739" s="33" t="s">
        <v>14</v>
      </c>
      <c r="E739" s="34">
        <v>5251.91</v>
      </c>
      <c r="F739" s="33" t="s">
        <v>1230</v>
      </c>
    </row>
    <row r="740" ht="15.75" customHeight="1">
      <c r="A740" s="33" t="s">
        <v>72</v>
      </c>
      <c r="B740" s="33" t="s">
        <v>225</v>
      </c>
      <c r="C740" s="33" t="s">
        <v>225</v>
      </c>
      <c r="D740" s="33" t="s">
        <v>14</v>
      </c>
      <c r="E740" s="34">
        <v>6665.98</v>
      </c>
      <c r="F740" s="33" t="s">
        <v>1231</v>
      </c>
    </row>
    <row r="741" ht="15.75" customHeight="1">
      <c r="A741" s="33" t="s">
        <v>72</v>
      </c>
      <c r="B741" s="33" t="s">
        <v>99</v>
      </c>
      <c r="C741" s="33" t="s">
        <v>99</v>
      </c>
      <c r="D741" s="33" t="s">
        <v>16</v>
      </c>
      <c r="E741" s="34">
        <v>4775.0</v>
      </c>
      <c r="F741" s="33" t="s">
        <v>704</v>
      </c>
    </row>
    <row r="742" ht="15.75" customHeight="1">
      <c r="A742" s="33" t="s">
        <v>72</v>
      </c>
      <c r="B742" s="33" t="s">
        <v>410</v>
      </c>
      <c r="C742" s="33" t="s">
        <v>577</v>
      </c>
      <c r="D742" s="33" t="s">
        <v>14</v>
      </c>
      <c r="E742" s="34">
        <v>62.69</v>
      </c>
      <c r="F742" s="33" t="s">
        <v>578</v>
      </c>
    </row>
    <row r="743" ht="15.75" customHeight="1">
      <c r="A743" s="33" t="s">
        <v>72</v>
      </c>
      <c r="B743" s="33" t="s">
        <v>148</v>
      </c>
      <c r="C743" s="33" t="s">
        <v>751</v>
      </c>
      <c r="D743" s="33" t="s">
        <v>14</v>
      </c>
      <c r="E743" s="34">
        <v>18698.64</v>
      </c>
      <c r="F743" s="33" t="s">
        <v>1232</v>
      </c>
    </row>
    <row r="744" ht="15.75" customHeight="1">
      <c r="A744" s="33" t="s">
        <v>72</v>
      </c>
      <c r="B744" s="33" t="s">
        <v>208</v>
      </c>
      <c r="C744" s="33" t="s">
        <v>208</v>
      </c>
      <c r="D744" s="33" t="s">
        <v>14</v>
      </c>
      <c r="E744" s="34">
        <v>475.0</v>
      </c>
      <c r="F744" s="33" t="s">
        <v>1233</v>
      </c>
    </row>
    <row r="745" ht="15.75" customHeight="1">
      <c r="A745" s="33" t="s">
        <v>72</v>
      </c>
      <c r="B745" s="33" t="s">
        <v>270</v>
      </c>
      <c r="C745" s="33" t="s">
        <v>270</v>
      </c>
      <c r="D745" s="33" t="s">
        <v>14</v>
      </c>
      <c r="E745" s="34">
        <v>3300.0</v>
      </c>
      <c r="F745" s="33" t="s">
        <v>1234</v>
      </c>
    </row>
    <row r="746" ht="15.75" customHeight="1">
      <c r="A746" s="33" t="s">
        <v>72</v>
      </c>
      <c r="B746" s="33" t="s">
        <v>459</v>
      </c>
      <c r="C746" s="33" t="s">
        <v>1235</v>
      </c>
      <c r="D746" s="33" t="s">
        <v>14</v>
      </c>
      <c r="E746" s="34">
        <v>171.29</v>
      </c>
      <c r="F746" s="33" t="s">
        <v>1236</v>
      </c>
    </row>
    <row r="747" ht="15.75" customHeight="1">
      <c r="A747" s="33" t="s">
        <v>72</v>
      </c>
      <c r="B747" s="33" t="s">
        <v>304</v>
      </c>
      <c r="C747" s="33" t="s">
        <v>1237</v>
      </c>
      <c r="D747" s="33" t="s">
        <v>14</v>
      </c>
      <c r="E747" s="34">
        <v>830.7</v>
      </c>
      <c r="F747" s="33" t="s">
        <v>711</v>
      </c>
    </row>
    <row r="748" ht="15.75" customHeight="1">
      <c r="A748" s="33" t="s">
        <v>72</v>
      </c>
      <c r="B748" s="33" t="s">
        <v>144</v>
      </c>
      <c r="C748" s="33" t="s">
        <v>144</v>
      </c>
      <c r="D748" s="33" t="s">
        <v>18</v>
      </c>
      <c r="E748" s="34">
        <v>1231.66</v>
      </c>
      <c r="F748" s="33" t="s">
        <v>644</v>
      </c>
    </row>
    <row r="749" ht="15.75" customHeight="1">
      <c r="A749" s="33" t="s">
        <v>72</v>
      </c>
      <c r="B749" s="33" t="s">
        <v>234</v>
      </c>
      <c r="C749" s="33" t="s">
        <v>234</v>
      </c>
      <c r="D749" s="33" t="s">
        <v>14</v>
      </c>
      <c r="E749" s="34">
        <v>3162.55</v>
      </c>
      <c r="F749" s="33" t="s">
        <v>1238</v>
      </c>
    </row>
    <row r="750" ht="15.75" customHeight="1">
      <c r="A750" s="33" t="s">
        <v>72</v>
      </c>
      <c r="B750" s="33" t="s">
        <v>430</v>
      </c>
      <c r="C750" s="33" t="s">
        <v>816</v>
      </c>
      <c r="D750" s="33" t="s">
        <v>14</v>
      </c>
      <c r="E750" s="34">
        <v>163.9</v>
      </c>
      <c r="F750" s="33" t="s">
        <v>1239</v>
      </c>
    </row>
    <row r="751" ht="15.75" customHeight="1">
      <c r="A751" s="33" t="s">
        <v>72</v>
      </c>
      <c r="B751" s="33" t="s">
        <v>321</v>
      </c>
      <c r="C751" s="33" t="s">
        <v>1240</v>
      </c>
      <c r="D751" s="33" t="s">
        <v>14</v>
      </c>
      <c r="E751" s="34">
        <v>1500.0</v>
      </c>
      <c r="F751" s="33" t="s">
        <v>1241</v>
      </c>
    </row>
    <row r="752" ht="15.75" customHeight="1">
      <c r="A752" s="33" t="s">
        <v>72</v>
      </c>
      <c r="B752" s="33" t="s">
        <v>280</v>
      </c>
      <c r="C752" s="33" t="s">
        <v>1242</v>
      </c>
      <c r="D752" s="33" t="s">
        <v>26</v>
      </c>
      <c r="E752" s="34">
        <v>2800.0</v>
      </c>
      <c r="F752" s="33" t="s">
        <v>1243</v>
      </c>
    </row>
    <row r="753" ht="15.75" customHeight="1">
      <c r="A753" s="33" t="s">
        <v>72</v>
      </c>
      <c r="B753" s="33" t="s">
        <v>103</v>
      </c>
      <c r="C753" s="33" t="s">
        <v>103</v>
      </c>
      <c r="D753" s="33" t="s">
        <v>30</v>
      </c>
      <c r="E753" s="34">
        <v>553.3</v>
      </c>
      <c r="F753" s="33" t="s">
        <v>1244</v>
      </c>
    </row>
    <row r="754" ht="15.75" customHeight="1">
      <c r="A754" s="33" t="s">
        <v>72</v>
      </c>
      <c r="B754" s="33" t="s">
        <v>121</v>
      </c>
      <c r="C754" s="33" t="s">
        <v>121</v>
      </c>
      <c r="D754" s="33" t="s">
        <v>14</v>
      </c>
      <c r="E754" s="34">
        <v>9625.0</v>
      </c>
      <c r="F754" s="33" t="s">
        <v>1245</v>
      </c>
    </row>
    <row r="755" ht="15.75" customHeight="1">
      <c r="A755" s="33" t="s">
        <v>72</v>
      </c>
      <c r="B755" s="33" t="s">
        <v>257</v>
      </c>
      <c r="C755" s="33" t="s">
        <v>257</v>
      </c>
      <c r="D755" s="33" t="s">
        <v>14</v>
      </c>
      <c r="E755" s="34">
        <v>1754.05</v>
      </c>
      <c r="F755" s="33" t="s">
        <v>1246</v>
      </c>
    </row>
    <row r="756" ht="15.75" customHeight="1">
      <c r="A756" s="33" t="s">
        <v>72</v>
      </c>
      <c r="B756" s="33" t="s">
        <v>298</v>
      </c>
      <c r="C756" s="33" t="s">
        <v>594</v>
      </c>
      <c r="D756" s="33" t="s">
        <v>14</v>
      </c>
      <c r="E756" s="34">
        <v>137.04</v>
      </c>
      <c r="F756" s="33" t="s">
        <v>595</v>
      </c>
    </row>
    <row r="757" ht="15.75" customHeight="1">
      <c r="A757" s="33" t="s">
        <v>72</v>
      </c>
      <c r="B757" s="33" t="s">
        <v>120</v>
      </c>
      <c r="C757" s="33" t="s">
        <v>819</v>
      </c>
      <c r="D757" s="33" t="s">
        <v>14</v>
      </c>
      <c r="E757" s="34">
        <v>1264.95</v>
      </c>
      <c r="F757" s="33" t="s">
        <v>1247</v>
      </c>
    </row>
    <row r="758" ht="15.75" customHeight="1">
      <c r="A758" s="33" t="s">
        <v>72</v>
      </c>
      <c r="B758" s="33" t="s">
        <v>97</v>
      </c>
      <c r="C758" s="33" t="s">
        <v>650</v>
      </c>
      <c r="D758" s="33" t="s">
        <v>30</v>
      </c>
      <c r="E758" s="34">
        <v>3200.0</v>
      </c>
      <c r="F758" s="33" t="s">
        <v>1248</v>
      </c>
    </row>
    <row r="759" ht="15.75" customHeight="1">
      <c r="A759" s="33" t="s">
        <v>72</v>
      </c>
      <c r="B759" s="33" t="s">
        <v>161</v>
      </c>
      <c r="C759" s="33" t="s">
        <v>596</v>
      </c>
      <c r="D759" s="33" t="s">
        <v>38</v>
      </c>
      <c r="E759" s="34">
        <v>135.03</v>
      </c>
      <c r="F759" s="33" t="s">
        <v>715</v>
      </c>
    </row>
    <row r="760" ht="15.75" customHeight="1">
      <c r="A760" s="33" t="s">
        <v>72</v>
      </c>
      <c r="B760" s="33" t="s">
        <v>115</v>
      </c>
      <c r="C760" s="33" t="s">
        <v>115</v>
      </c>
      <c r="D760" s="33" t="s">
        <v>20</v>
      </c>
      <c r="E760" s="34">
        <v>13130.0</v>
      </c>
      <c r="F760" s="33" t="s">
        <v>1249</v>
      </c>
    </row>
    <row r="761" ht="15.75" customHeight="1">
      <c r="A761" s="33" t="s">
        <v>72</v>
      </c>
      <c r="B761" s="33" t="s">
        <v>338</v>
      </c>
      <c r="C761" s="33" t="s">
        <v>338</v>
      </c>
      <c r="D761" s="33" t="s">
        <v>16</v>
      </c>
      <c r="E761" s="34">
        <v>50.0</v>
      </c>
      <c r="F761" s="33" t="s">
        <v>720</v>
      </c>
    </row>
    <row r="762" ht="15.75" customHeight="1">
      <c r="A762" s="33" t="s">
        <v>72</v>
      </c>
      <c r="B762" s="33" t="s">
        <v>328</v>
      </c>
      <c r="C762" s="33" t="s">
        <v>328</v>
      </c>
      <c r="D762" s="33" t="s">
        <v>36</v>
      </c>
      <c r="E762" s="34">
        <v>107.31</v>
      </c>
      <c r="F762" s="33" t="s">
        <v>600</v>
      </c>
    </row>
    <row r="763" ht="15.75" customHeight="1">
      <c r="A763" s="33" t="s">
        <v>72</v>
      </c>
      <c r="B763" s="33" t="s">
        <v>242</v>
      </c>
      <c r="C763" s="33" t="s">
        <v>242</v>
      </c>
      <c r="D763" s="33" t="s">
        <v>36</v>
      </c>
      <c r="E763" s="34">
        <v>647.89</v>
      </c>
      <c r="F763" s="33" t="s">
        <v>1250</v>
      </c>
    </row>
    <row r="764" ht="15.75" customHeight="1">
      <c r="A764" s="33" t="s">
        <v>72</v>
      </c>
      <c r="B764" s="33" t="s">
        <v>356</v>
      </c>
      <c r="C764" s="33" t="s">
        <v>356</v>
      </c>
      <c r="D764" s="33" t="s">
        <v>14</v>
      </c>
      <c r="E764" s="34">
        <v>369.14</v>
      </c>
      <c r="F764" s="33" t="s">
        <v>1251</v>
      </c>
    </row>
    <row r="765" ht="15.75" customHeight="1">
      <c r="A765" s="33" t="s">
        <v>72</v>
      </c>
      <c r="B765" s="33" t="s">
        <v>246</v>
      </c>
      <c r="C765" s="33" t="s">
        <v>246</v>
      </c>
      <c r="D765" s="33" t="s">
        <v>42</v>
      </c>
      <c r="E765" s="34">
        <v>230.0</v>
      </c>
      <c r="F765" s="33" t="s">
        <v>1252</v>
      </c>
    </row>
    <row r="766" ht="15.75" customHeight="1">
      <c r="A766" s="33" t="s">
        <v>72</v>
      </c>
      <c r="B766" s="33" t="s">
        <v>91</v>
      </c>
      <c r="C766" s="33" t="s">
        <v>91</v>
      </c>
      <c r="D766" s="33" t="s">
        <v>32</v>
      </c>
      <c r="E766" s="34">
        <v>17335.0</v>
      </c>
      <c r="F766" s="33" t="s">
        <v>1253</v>
      </c>
    </row>
    <row r="767" ht="15.75" customHeight="1">
      <c r="A767" s="33" t="s">
        <v>72</v>
      </c>
      <c r="B767" s="33" t="s">
        <v>212</v>
      </c>
      <c r="C767" s="33" t="s">
        <v>212</v>
      </c>
      <c r="D767" s="33" t="s">
        <v>14</v>
      </c>
      <c r="E767" s="34">
        <v>3200.0</v>
      </c>
      <c r="F767" s="33" t="s">
        <v>1254</v>
      </c>
    </row>
    <row r="768" ht="15.75" customHeight="1">
      <c r="A768" s="33" t="s">
        <v>72</v>
      </c>
      <c r="B768" s="33" t="s">
        <v>319</v>
      </c>
      <c r="C768" s="33" t="s">
        <v>319</v>
      </c>
      <c r="D768" s="33" t="s">
        <v>14</v>
      </c>
      <c r="E768" s="34">
        <v>150.0</v>
      </c>
      <c r="F768" s="33" t="s">
        <v>1255</v>
      </c>
    </row>
    <row r="769" ht="15.75" customHeight="1">
      <c r="A769" s="33" t="s">
        <v>72</v>
      </c>
      <c r="B769" s="33" t="s">
        <v>412</v>
      </c>
      <c r="C769" s="33" t="s">
        <v>412</v>
      </c>
      <c r="D769" s="33" t="s">
        <v>14</v>
      </c>
      <c r="E769" s="34">
        <v>455.0</v>
      </c>
      <c r="F769" s="33" t="s">
        <v>1256</v>
      </c>
    </row>
    <row r="770" ht="15.75" customHeight="1">
      <c r="A770" s="33" t="s">
        <v>72</v>
      </c>
      <c r="B770" s="33" t="s">
        <v>330</v>
      </c>
      <c r="C770" s="33" t="s">
        <v>522</v>
      </c>
      <c r="D770" s="33" t="s">
        <v>40</v>
      </c>
      <c r="E770" s="34">
        <v>606.0</v>
      </c>
      <c r="F770" s="33" t="s">
        <v>1257</v>
      </c>
    </row>
    <row r="771" ht="15.75" customHeight="1">
      <c r="A771" s="33" t="s">
        <v>72</v>
      </c>
      <c r="B771" s="33" t="s">
        <v>107</v>
      </c>
      <c r="C771" s="33" t="s">
        <v>524</v>
      </c>
      <c r="D771" s="33" t="s">
        <v>26</v>
      </c>
      <c r="E771" s="34">
        <v>23235.0</v>
      </c>
      <c r="F771" s="33" t="s">
        <v>1258</v>
      </c>
    </row>
    <row r="772" ht="15.75" customHeight="1">
      <c r="A772" s="33" t="s">
        <v>72</v>
      </c>
      <c r="B772" s="33" t="s">
        <v>362</v>
      </c>
      <c r="C772" s="33" t="s">
        <v>1259</v>
      </c>
      <c r="D772" s="33" t="s">
        <v>14</v>
      </c>
      <c r="E772" s="34">
        <v>897.0</v>
      </c>
      <c r="F772" s="33" t="s">
        <v>1260</v>
      </c>
    </row>
    <row r="773" ht="15.75" customHeight="1">
      <c r="A773" s="33" t="s">
        <v>72</v>
      </c>
      <c r="B773" s="33" t="s">
        <v>220</v>
      </c>
      <c r="C773" s="33" t="s">
        <v>220</v>
      </c>
      <c r="D773" s="33" t="s">
        <v>18</v>
      </c>
      <c r="E773" s="34">
        <v>2480.96</v>
      </c>
      <c r="F773" s="33" t="s">
        <v>1261</v>
      </c>
    </row>
    <row r="774" ht="15.75" customHeight="1">
      <c r="A774" s="33" t="s">
        <v>72</v>
      </c>
      <c r="B774" s="33" t="s">
        <v>122</v>
      </c>
      <c r="C774" s="33" t="s">
        <v>529</v>
      </c>
      <c r="D774" s="33" t="s">
        <v>20</v>
      </c>
      <c r="E774" s="34">
        <v>348.0</v>
      </c>
      <c r="F774" s="33" t="s">
        <v>1262</v>
      </c>
    </row>
    <row r="775" ht="15.75" customHeight="1">
      <c r="A775" s="33" t="s">
        <v>72</v>
      </c>
      <c r="B775" s="33" t="s">
        <v>110</v>
      </c>
      <c r="C775" s="33" t="s">
        <v>110</v>
      </c>
      <c r="D775" s="33" t="s">
        <v>36</v>
      </c>
      <c r="E775" s="34">
        <v>8344.82</v>
      </c>
      <c r="F775" s="33" t="s">
        <v>1263</v>
      </c>
    </row>
    <row r="776" ht="15.75" customHeight="1">
      <c r="A776" s="33" t="s">
        <v>72</v>
      </c>
      <c r="B776" s="33" t="s">
        <v>139</v>
      </c>
      <c r="C776" s="33" t="s">
        <v>732</v>
      </c>
      <c r="D776" s="33" t="s">
        <v>14</v>
      </c>
      <c r="E776" s="34">
        <v>10634.11</v>
      </c>
      <c r="F776" s="33" t="s">
        <v>1264</v>
      </c>
    </row>
    <row r="777" ht="15.75" customHeight="1">
      <c r="A777" s="33" t="s">
        <v>72</v>
      </c>
      <c r="B777" s="33" t="s">
        <v>19</v>
      </c>
      <c r="C777" s="33" t="s">
        <v>19</v>
      </c>
      <c r="D777" s="33" t="s">
        <v>16</v>
      </c>
      <c r="E777" s="34">
        <v>95153.66</v>
      </c>
      <c r="F777" s="33" t="s">
        <v>1265</v>
      </c>
    </row>
    <row r="778" ht="15.75" customHeight="1">
      <c r="A778" s="33" t="s">
        <v>72</v>
      </c>
      <c r="B778" s="33" t="s">
        <v>393</v>
      </c>
      <c r="C778" s="33" t="s">
        <v>393</v>
      </c>
      <c r="D778" s="33" t="s">
        <v>14</v>
      </c>
      <c r="E778" s="34">
        <v>150.0</v>
      </c>
      <c r="F778" s="33" t="s">
        <v>1115</v>
      </c>
    </row>
    <row r="779" ht="15.75" customHeight="1">
      <c r="A779" s="33" t="s">
        <v>72</v>
      </c>
      <c r="B779" s="33" t="s">
        <v>90</v>
      </c>
      <c r="C779" s="33" t="s">
        <v>536</v>
      </c>
      <c r="D779" s="33" t="s">
        <v>18</v>
      </c>
      <c r="E779" s="34">
        <v>10725.0</v>
      </c>
      <c r="F779" s="33" t="s">
        <v>1266</v>
      </c>
    </row>
    <row r="780" ht="15.75" customHeight="1">
      <c r="A780" s="33" t="s">
        <v>72</v>
      </c>
      <c r="B780" s="33" t="s">
        <v>214</v>
      </c>
      <c r="C780" s="33" t="s">
        <v>214</v>
      </c>
      <c r="D780" s="33" t="s">
        <v>14</v>
      </c>
      <c r="E780" s="34">
        <v>282.0</v>
      </c>
      <c r="F780" s="33" t="s">
        <v>767</v>
      </c>
    </row>
    <row r="781" ht="15.75" customHeight="1">
      <c r="A781" s="33" t="s">
        <v>72</v>
      </c>
      <c r="B781" s="33" t="s">
        <v>127</v>
      </c>
      <c r="C781" s="33" t="s">
        <v>127</v>
      </c>
      <c r="D781" s="33" t="s">
        <v>36</v>
      </c>
      <c r="E781" s="34">
        <v>2602.19</v>
      </c>
      <c r="F781" s="33" t="s">
        <v>1267</v>
      </c>
    </row>
    <row r="782" ht="15.75" customHeight="1">
      <c r="A782" s="33" t="s">
        <v>72</v>
      </c>
      <c r="B782" s="33" t="s">
        <v>264</v>
      </c>
      <c r="C782" s="33" t="s">
        <v>264</v>
      </c>
      <c r="D782" s="33" t="s">
        <v>14</v>
      </c>
      <c r="E782" s="34">
        <v>3776.0</v>
      </c>
      <c r="F782" s="33" t="s">
        <v>1268</v>
      </c>
    </row>
    <row r="783" ht="15.75" customHeight="1">
      <c r="A783" s="33" t="s">
        <v>72</v>
      </c>
      <c r="B783" s="33" t="s">
        <v>150</v>
      </c>
      <c r="C783" s="33" t="s">
        <v>551</v>
      </c>
      <c r="D783" s="33" t="s">
        <v>26</v>
      </c>
      <c r="E783" s="34">
        <v>1248.0</v>
      </c>
      <c r="F783" s="33" t="s">
        <v>1025</v>
      </c>
    </row>
    <row r="784" ht="15.75" customHeight="1">
      <c r="A784" s="33" t="s">
        <v>72</v>
      </c>
      <c r="B784" s="33" t="s">
        <v>1053</v>
      </c>
      <c r="C784" s="33" t="s">
        <v>117</v>
      </c>
      <c r="D784" s="33" t="s">
        <v>14</v>
      </c>
      <c r="E784" s="34">
        <v>4334.03</v>
      </c>
      <c r="F784" s="33" t="s">
        <v>1269</v>
      </c>
    </row>
    <row r="785" ht="15.75" customHeight="1">
      <c r="A785" s="33" t="s">
        <v>72</v>
      </c>
      <c r="B785" s="33" t="s">
        <v>347</v>
      </c>
      <c r="C785" s="33" t="s">
        <v>347</v>
      </c>
      <c r="D785" s="33" t="s">
        <v>14</v>
      </c>
      <c r="E785" s="34">
        <v>1112.0</v>
      </c>
      <c r="F785" s="33" t="s">
        <v>1270</v>
      </c>
    </row>
    <row r="786" ht="15.75" customHeight="1">
      <c r="A786" s="33" t="s">
        <v>72</v>
      </c>
      <c r="B786" s="33" t="s">
        <v>277</v>
      </c>
      <c r="C786" s="33" t="s">
        <v>277</v>
      </c>
      <c r="D786" s="33" t="s">
        <v>14</v>
      </c>
      <c r="E786" s="34">
        <v>231.43</v>
      </c>
      <c r="F786" s="33" t="s">
        <v>945</v>
      </c>
    </row>
    <row r="787" ht="15.75" customHeight="1">
      <c r="A787" s="33" t="s">
        <v>72</v>
      </c>
      <c r="B787" s="33" t="s">
        <v>331</v>
      </c>
      <c r="C787" s="33" t="s">
        <v>331</v>
      </c>
      <c r="D787" s="33" t="s">
        <v>14</v>
      </c>
      <c r="E787" s="34">
        <v>1290.12</v>
      </c>
      <c r="F787" s="33" t="s">
        <v>1271</v>
      </c>
    </row>
    <row r="788" ht="15.75" customHeight="1">
      <c r="A788" s="33" t="s">
        <v>72</v>
      </c>
      <c r="B788" s="33" t="s">
        <v>274</v>
      </c>
      <c r="C788" s="33" t="s">
        <v>274</v>
      </c>
      <c r="D788" s="33" t="s">
        <v>14</v>
      </c>
      <c r="E788" s="34">
        <v>105.0</v>
      </c>
      <c r="F788" s="33" t="s">
        <v>1272</v>
      </c>
    </row>
    <row r="789" ht="15.75" customHeight="1">
      <c r="A789" s="33" t="s">
        <v>72</v>
      </c>
      <c r="B789" s="33" t="s">
        <v>196</v>
      </c>
      <c r="C789" s="33" t="s">
        <v>196</v>
      </c>
      <c r="D789" s="33" t="s">
        <v>30</v>
      </c>
      <c r="E789" s="34">
        <v>75.6</v>
      </c>
      <c r="F789" s="33" t="s">
        <v>1273</v>
      </c>
    </row>
    <row r="790" ht="15.75" customHeight="1">
      <c r="A790" s="33" t="s">
        <v>72</v>
      </c>
      <c r="B790" s="33" t="s">
        <v>35</v>
      </c>
      <c r="C790" s="33" t="s">
        <v>35</v>
      </c>
      <c r="D790" s="33" t="s">
        <v>22</v>
      </c>
      <c r="E790" s="34">
        <v>40345.3</v>
      </c>
      <c r="F790" s="33" t="s">
        <v>966</v>
      </c>
    </row>
    <row r="791" ht="15.75" customHeight="1">
      <c r="A791" s="33" t="s">
        <v>72</v>
      </c>
      <c r="B791" s="33" t="s">
        <v>96</v>
      </c>
      <c r="C791" s="33" t="s">
        <v>925</v>
      </c>
      <c r="D791" s="33" t="s">
        <v>20</v>
      </c>
      <c r="E791" s="34">
        <v>9309.39</v>
      </c>
      <c r="F791" s="33" t="s">
        <v>1274</v>
      </c>
    </row>
    <row r="792" ht="15.75" customHeight="1">
      <c r="A792" s="33" t="s">
        <v>72</v>
      </c>
      <c r="B792" s="33" t="s">
        <v>492</v>
      </c>
      <c r="C792" s="33" t="s">
        <v>492</v>
      </c>
      <c r="D792" s="33" t="s">
        <v>14</v>
      </c>
      <c r="E792" s="34">
        <v>35.0</v>
      </c>
      <c r="F792" s="33" t="s">
        <v>950</v>
      </c>
    </row>
    <row r="793" ht="15.75" customHeight="1">
      <c r="A793" s="33" t="s">
        <v>72</v>
      </c>
      <c r="B793" s="33" t="s">
        <v>383</v>
      </c>
      <c r="C793" s="33" t="s">
        <v>383</v>
      </c>
      <c r="D793" s="33" t="s">
        <v>14</v>
      </c>
      <c r="E793" s="34">
        <v>244.38</v>
      </c>
      <c r="F793" s="33" t="s">
        <v>1275</v>
      </c>
    </row>
    <row r="794" ht="15.75" customHeight="1">
      <c r="A794" s="33" t="s">
        <v>72</v>
      </c>
      <c r="B794" s="33" t="s">
        <v>114</v>
      </c>
      <c r="C794" s="33" t="s">
        <v>1276</v>
      </c>
      <c r="D794" s="33" t="s">
        <v>14</v>
      </c>
      <c r="E794" s="34">
        <v>46799.0</v>
      </c>
      <c r="F794" s="33" t="s">
        <v>1277</v>
      </c>
    </row>
    <row r="795" ht="15.75" customHeight="1">
      <c r="A795" s="33" t="s">
        <v>72</v>
      </c>
      <c r="B795" s="33" t="s">
        <v>493</v>
      </c>
      <c r="C795" s="33" t="s">
        <v>493</v>
      </c>
      <c r="D795" s="33" t="s">
        <v>14</v>
      </c>
      <c r="E795" s="34">
        <v>35.0</v>
      </c>
      <c r="F795" s="33" t="s">
        <v>950</v>
      </c>
    </row>
    <row r="796" ht="15.75" customHeight="1">
      <c r="A796" s="33" t="s">
        <v>72</v>
      </c>
      <c r="B796" s="33" t="s">
        <v>446</v>
      </c>
      <c r="C796" s="33" t="s">
        <v>446</v>
      </c>
      <c r="D796" s="33" t="s">
        <v>14</v>
      </c>
      <c r="E796" s="34">
        <v>15.95</v>
      </c>
      <c r="F796" s="33" t="s">
        <v>1278</v>
      </c>
    </row>
    <row r="797" ht="15.75" customHeight="1">
      <c r="A797" s="33" t="s">
        <v>72</v>
      </c>
      <c r="B797" s="33" t="s">
        <v>93</v>
      </c>
      <c r="C797" s="33" t="s">
        <v>93</v>
      </c>
      <c r="D797" s="33" t="s">
        <v>16</v>
      </c>
      <c r="E797" s="34">
        <v>163563.0</v>
      </c>
      <c r="F797" s="33" t="s">
        <v>1279</v>
      </c>
    </row>
    <row r="798" ht="15.75" customHeight="1">
      <c r="A798" s="33" t="s">
        <v>72</v>
      </c>
      <c r="B798" s="33" t="s">
        <v>419</v>
      </c>
      <c r="C798" s="33" t="s">
        <v>419</v>
      </c>
      <c r="D798" s="33" t="s">
        <v>14</v>
      </c>
      <c r="E798" s="34">
        <v>400.0</v>
      </c>
      <c r="F798" s="33" t="s">
        <v>1280</v>
      </c>
    </row>
    <row r="799" ht="15.75" customHeight="1">
      <c r="A799" s="33" t="s">
        <v>72</v>
      </c>
      <c r="B799" s="33" t="s">
        <v>458</v>
      </c>
      <c r="C799" s="33" t="s">
        <v>458</v>
      </c>
      <c r="D799" s="33" t="s">
        <v>22</v>
      </c>
      <c r="E799" s="34">
        <v>120.0</v>
      </c>
      <c r="F799" s="33" t="s">
        <v>1281</v>
      </c>
    </row>
    <row r="800" ht="15.75" customHeight="1">
      <c r="A800" s="33" t="s">
        <v>72</v>
      </c>
      <c r="B800" s="33" t="s">
        <v>483</v>
      </c>
      <c r="C800" s="33" t="s">
        <v>483</v>
      </c>
      <c r="D800" s="33" t="s">
        <v>14</v>
      </c>
      <c r="E800" s="34">
        <v>60.0</v>
      </c>
      <c r="F800" s="33" t="s">
        <v>1282</v>
      </c>
    </row>
    <row r="801" ht="15.75" customHeight="1">
      <c r="A801" s="33" t="s">
        <v>72</v>
      </c>
      <c r="B801" s="33" t="s">
        <v>494</v>
      </c>
      <c r="C801" s="33" t="s">
        <v>494</v>
      </c>
      <c r="D801" s="33" t="s">
        <v>14</v>
      </c>
      <c r="E801" s="34">
        <v>35.0</v>
      </c>
      <c r="F801" s="33" t="s">
        <v>1283</v>
      </c>
    </row>
    <row r="802" ht="15.75" customHeight="1">
      <c r="A802" s="33" t="s">
        <v>72</v>
      </c>
      <c r="B802" s="33" t="s">
        <v>89</v>
      </c>
      <c r="C802" s="33" t="s">
        <v>89</v>
      </c>
      <c r="D802" s="33" t="s">
        <v>34</v>
      </c>
      <c r="E802" s="34">
        <v>13944.82</v>
      </c>
      <c r="F802" s="33" t="s">
        <v>1284</v>
      </c>
    </row>
    <row r="803" ht="15.75" customHeight="1">
      <c r="A803" s="33" t="s">
        <v>72</v>
      </c>
      <c r="B803" s="33" t="s">
        <v>191</v>
      </c>
      <c r="C803" s="33" t="s">
        <v>191</v>
      </c>
      <c r="D803" s="33" t="s">
        <v>14</v>
      </c>
      <c r="E803" s="34">
        <v>939.4</v>
      </c>
      <c r="F803" s="33" t="s">
        <v>933</v>
      </c>
    </row>
    <row r="804" ht="15.75" customHeight="1">
      <c r="A804" s="33" t="s">
        <v>72</v>
      </c>
      <c r="B804" s="33" t="s">
        <v>463</v>
      </c>
      <c r="C804" s="33" t="s">
        <v>1285</v>
      </c>
      <c r="D804" s="33" t="s">
        <v>14</v>
      </c>
      <c r="E804" s="34">
        <v>150.0</v>
      </c>
      <c r="F804" s="33" t="s">
        <v>1286</v>
      </c>
    </row>
    <row r="805" ht="15.75" customHeight="1">
      <c r="A805" s="33" t="s">
        <v>72</v>
      </c>
      <c r="B805" s="33" t="s">
        <v>294</v>
      </c>
      <c r="C805" s="33" t="s">
        <v>638</v>
      </c>
      <c r="D805" s="33" t="s">
        <v>14</v>
      </c>
      <c r="E805" s="34">
        <v>237.51</v>
      </c>
      <c r="F805" s="33" t="s">
        <v>1287</v>
      </c>
    </row>
    <row r="806" ht="15.75" customHeight="1">
      <c r="A806" s="33" t="s">
        <v>72</v>
      </c>
      <c r="B806" s="33" t="s">
        <v>384</v>
      </c>
      <c r="C806" s="33" t="s">
        <v>640</v>
      </c>
      <c r="D806" s="33" t="s">
        <v>14</v>
      </c>
      <c r="E806" s="34">
        <v>38.0</v>
      </c>
      <c r="F806" s="33" t="s">
        <v>641</v>
      </c>
    </row>
    <row r="807" ht="15.75" customHeight="1">
      <c r="A807" s="33" t="s">
        <v>72</v>
      </c>
      <c r="B807" s="33" t="s">
        <v>128</v>
      </c>
      <c r="C807" s="33" t="s">
        <v>128</v>
      </c>
      <c r="D807" s="33" t="s">
        <v>22</v>
      </c>
      <c r="E807" s="34">
        <v>166.0</v>
      </c>
      <c r="F807" s="33" t="s">
        <v>1288</v>
      </c>
    </row>
    <row r="808" ht="15.75" customHeight="1">
      <c r="A808" s="33" t="s">
        <v>72</v>
      </c>
      <c r="B808" s="33" t="s">
        <v>144</v>
      </c>
      <c r="C808" s="33" t="s">
        <v>144</v>
      </c>
      <c r="D808" s="33" t="s">
        <v>18</v>
      </c>
      <c r="E808" s="34">
        <v>433.12</v>
      </c>
      <c r="F808" s="33" t="s">
        <v>1289</v>
      </c>
    </row>
    <row r="809" ht="15.75" customHeight="1">
      <c r="A809" s="33" t="s">
        <v>72</v>
      </c>
      <c r="B809" s="33" t="s">
        <v>364</v>
      </c>
      <c r="C809" s="33" t="s">
        <v>364</v>
      </c>
      <c r="D809" s="33" t="s">
        <v>14</v>
      </c>
      <c r="E809" s="34">
        <v>410.6</v>
      </c>
      <c r="F809" s="33" t="s">
        <v>1290</v>
      </c>
    </row>
    <row r="810" ht="15.75" customHeight="1">
      <c r="A810" s="33" t="s">
        <v>72</v>
      </c>
      <c r="B810" s="33" t="s">
        <v>333</v>
      </c>
      <c r="C810" s="33" t="s">
        <v>333</v>
      </c>
      <c r="D810" s="33" t="s">
        <v>14</v>
      </c>
      <c r="E810" s="34">
        <v>1349.95</v>
      </c>
      <c r="F810" s="33" t="s">
        <v>1291</v>
      </c>
    </row>
    <row r="811" ht="15.75" customHeight="1">
      <c r="A811" s="33" t="s">
        <v>72</v>
      </c>
      <c r="B811" s="33" t="s">
        <v>276</v>
      </c>
      <c r="C811" s="33" t="s">
        <v>1006</v>
      </c>
      <c r="D811" s="33" t="s">
        <v>14</v>
      </c>
      <c r="E811" s="34">
        <v>552.5</v>
      </c>
      <c r="F811" s="33" t="s">
        <v>1292</v>
      </c>
    </row>
    <row r="812" ht="15.75" customHeight="1">
      <c r="A812" s="33" t="s">
        <v>72</v>
      </c>
      <c r="B812" s="33" t="s">
        <v>118</v>
      </c>
      <c r="C812" s="33" t="s">
        <v>1293</v>
      </c>
      <c r="D812" s="33" t="s">
        <v>14</v>
      </c>
      <c r="E812" s="34">
        <v>43161.8</v>
      </c>
      <c r="F812" s="33" t="s">
        <v>1294</v>
      </c>
    </row>
    <row r="813" ht="15.75" customHeight="1">
      <c r="A813" s="33" t="s">
        <v>72</v>
      </c>
      <c r="B813" s="33" t="s">
        <v>360</v>
      </c>
      <c r="C813" s="33" t="s">
        <v>360</v>
      </c>
      <c r="D813" s="33" t="s">
        <v>14</v>
      </c>
      <c r="E813" s="34">
        <v>150.0</v>
      </c>
      <c r="F813" s="33" t="s">
        <v>1115</v>
      </c>
    </row>
    <row r="814" ht="15.75" customHeight="1">
      <c r="A814" s="33" t="s">
        <v>72</v>
      </c>
      <c r="B814" s="33" t="s">
        <v>121</v>
      </c>
      <c r="C814" s="33" t="s">
        <v>121</v>
      </c>
      <c r="D814" s="33" t="s">
        <v>14</v>
      </c>
      <c r="E814" s="34">
        <v>3850.0</v>
      </c>
      <c r="F814" s="33" t="s">
        <v>1295</v>
      </c>
    </row>
    <row r="815" ht="15.75" customHeight="1">
      <c r="A815" s="33" t="s">
        <v>72</v>
      </c>
      <c r="B815" s="33" t="s">
        <v>97</v>
      </c>
      <c r="C815" s="33" t="s">
        <v>650</v>
      </c>
      <c r="D815" s="33" t="s">
        <v>30</v>
      </c>
      <c r="E815" s="34">
        <v>34.0</v>
      </c>
      <c r="F815" s="33" t="s">
        <v>651</v>
      </c>
    </row>
    <row r="816" ht="15.75" customHeight="1">
      <c r="A816" s="33" t="s">
        <v>72</v>
      </c>
      <c r="B816" s="33" t="s">
        <v>163</v>
      </c>
      <c r="C816" s="33" t="s">
        <v>163</v>
      </c>
      <c r="D816" s="33" t="s">
        <v>14</v>
      </c>
      <c r="E816" s="34">
        <v>632.87</v>
      </c>
      <c r="F816" s="33" t="s">
        <v>722</v>
      </c>
    </row>
    <row r="817" ht="15.75" customHeight="1">
      <c r="A817" s="33" t="s">
        <v>72</v>
      </c>
      <c r="B817" s="33" t="s">
        <v>243</v>
      </c>
      <c r="C817" s="33" t="s">
        <v>243</v>
      </c>
      <c r="D817" s="33" t="s">
        <v>14</v>
      </c>
      <c r="E817" s="34">
        <v>441.07</v>
      </c>
      <c r="F817" s="33" t="s">
        <v>604</v>
      </c>
    </row>
    <row r="818" ht="15.75" customHeight="1">
      <c r="A818" s="33" t="s">
        <v>72</v>
      </c>
      <c r="B818" s="33" t="s">
        <v>170</v>
      </c>
      <c r="C818" s="33" t="s">
        <v>170</v>
      </c>
      <c r="D818" s="33" t="s">
        <v>14</v>
      </c>
      <c r="E818" s="34">
        <v>150.0</v>
      </c>
      <c r="F818" s="33" t="s">
        <v>1296</v>
      </c>
    </row>
    <row r="819" ht="15.75" customHeight="1">
      <c r="A819" s="33" t="s">
        <v>72</v>
      </c>
      <c r="B819" s="33" t="s">
        <v>152</v>
      </c>
      <c r="C819" s="33" t="s">
        <v>152</v>
      </c>
      <c r="D819" s="33" t="s">
        <v>18</v>
      </c>
      <c r="E819" s="34">
        <v>2022.51</v>
      </c>
      <c r="F819" s="33" t="s">
        <v>1297</v>
      </c>
    </row>
    <row r="820" ht="15.75" customHeight="1">
      <c r="A820" s="33" t="s">
        <v>72</v>
      </c>
      <c r="B820" s="33" t="s">
        <v>153</v>
      </c>
      <c r="C820" s="33" t="s">
        <v>153</v>
      </c>
      <c r="D820" s="33" t="s">
        <v>14</v>
      </c>
      <c r="E820" s="34">
        <v>2022.51</v>
      </c>
      <c r="F820" s="33" t="s">
        <v>1297</v>
      </c>
    </row>
    <row r="821" ht="15.75" customHeight="1">
      <c r="A821" s="33" t="s">
        <v>72</v>
      </c>
      <c r="B821" s="33" t="s">
        <v>458</v>
      </c>
      <c r="C821" s="33" t="s">
        <v>458</v>
      </c>
      <c r="D821" s="33" t="s">
        <v>22</v>
      </c>
      <c r="E821" s="34">
        <v>60.0</v>
      </c>
      <c r="F821" s="33" t="s">
        <v>1298</v>
      </c>
    </row>
    <row r="822" ht="15.75" customHeight="1">
      <c r="A822" s="33" t="s">
        <v>72</v>
      </c>
      <c r="B822" s="33" t="s">
        <v>438</v>
      </c>
      <c r="C822" s="33" t="s">
        <v>438</v>
      </c>
      <c r="D822" s="33" t="s">
        <v>14</v>
      </c>
      <c r="E822" s="34">
        <v>275.0</v>
      </c>
      <c r="F822" s="33" t="s">
        <v>1299</v>
      </c>
    </row>
    <row r="823" ht="15.75" customHeight="1">
      <c r="A823" s="33" t="s">
        <v>72</v>
      </c>
      <c r="B823" s="33" t="s">
        <v>182</v>
      </c>
      <c r="C823" s="33" t="s">
        <v>760</v>
      </c>
      <c r="D823" s="33" t="s">
        <v>14</v>
      </c>
      <c r="E823" s="34">
        <v>1802.0</v>
      </c>
      <c r="F823" s="33" t="s">
        <v>1300</v>
      </c>
    </row>
    <row r="824" ht="15.75" customHeight="1">
      <c r="A824" s="33" t="s">
        <v>72</v>
      </c>
      <c r="B824" s="33" t="s">
        <v>220</v>
      </c>
      <c r="C824" s="33" t="s">
        <v>220</v>
      </c>
      <c r="D824" s="33" t="s">
        <v>18</v>
      </c>
      <c r="E824" s="34">
        <v>74.38</v>
      </c>
      <c r="F824" s="33" t="s">
        <v>1301</v>
      </c>
    </row>
    <row r="825" ht="15.75" customHeight="1">
      <c r="A825" s="33" t="s">
        <v>72</v>
      </c>
      <c r="B825" s="33" t="s">
        <v>183</v>
      </c>
      <c r="C825" s="33" t="s">
        <v>183</v>
      </c>
      <c r="D825" s="33" t="s">
        <v>16</v>
      </c>
      <c r="E825" s="34">
        <v>1388.18</v>
      </c>
      <c r="F825" s="33" t="s">
        <v>610</v>
      </c>
    </row>
    <row r="826" ht="15.75" customHeight="1">
      <c r="A826" s="33" t="s">
        <v>72</v>
      </c>
      <c r="B826" s="33" t="s">
        <v>300</v>
      </c>
      <c r="C826" s="33" t="s">
        <v>300</v>
      </c>
      <c r="D826" s="33" t="s">
        <v>14</v>
      </c>
      <c r="E826" s="34">
        <v>99.0</v>
      </c>
      <c r="F826" s="33" t="s">
        <v>1302</v>
      </c>
    </row>
    <row r="827" ht="15.75" customHeight="1">
      <c r="A827" s="33" t="s">
        <v>72</v>
      </c>
      <c r="B827" s="33" t="s">
        <v>240</v>
      </c>
      <c r="C827" s="33" t="s">
        <v>1303</v>
      </c>
      <c r="D827" s="33" t="s">
        <v>14</v>
      </c>
      <c r="E827" s="34">
        <v>5000.0</v>
      </c>
      <c r="F827" s="33" t="s">
        <v>1304</v>
      </c>
    </row>
    <row r="828" ht="15.75" customHeight="1">
      <c r="A828" s="33" t="s">
        <v>72</v>
      </c>
      <c r="B828" s="33" t="s">
        <v>312</v>
      </c>
      <c r="C828" s="33" t="s">
        <v>831</v>
      </c>
      <c r="D828" s="33" t="s">
        <v>38</v>
      </c>
      <c r="E828" s="34">
        <v>239.0</v>
      </c>
      <c r="F828" s="33" t="s">
        <v>1305</v>
      </c>
    </row>
    <row r="829" ht="15.75" customHeight="1">
      <c r="A829" s="33" t="s">
        <v>72</v>
      </c>
      <c r="B829" s="33" t="s">
        <v>393</v>
      </c>
      <c r="C829" s="33" t="s">
        <v>393</v>
      </c>
      <c r="D829" s="33" t="s">
        <v>14</v>
      </c>
      <c r="E829" s="34">
        <v>150.0</v>
      </c>
      <c r="F829" s="33" t="s">
        <v>1306</v>
      </c>
    </row>
    <row r="830" ht="15.75" customHeight="1">
      <c r="A830" s="33" t="s">
        <v>72</v>
      </c>
      <c r="B830" s="33" t="s">
        <v>365</v>
      </c>
      <c r="C830" s="33" t="s">
        <v>765</v>
      </c>
      <c r="D830" s="33" t="s">
        <v>36</v>
      </c>
      <c r="E830" s="34">
        <v>100.0</v>
      </c>
      <c r="F830" s="33" t="s">
        <v>1307</v>
      </c>
    </row>
    <row r="831" ht="15.75" customHeight="1">
      <c r="A831" s="33" t="s">
        <v>72</v>
      </c>
      <c r="B831" s="33" t="s">
        <v>291</v>
      </c>
      <c r="C831" s="33" t="s">
        <v>291</v>
      </c>
      <c r="D831" s="33" t="s">
        <v>38</v>
      </c>
      <c r="E831" s="34">
        <v>113.53</v>
      </c>
      <c r="F831" s="33" t="s">
        <v>1308</v>
      </c>
    </row>
    <row r="832" ht="15.75" customHeight="1">
      <c r="A832" s="33" t="s">
        <v>72</v>
      </c>
      <c r="B832" s="33" t="s">
        <v>177</v>
      </c>
      <c r="C832" s="33" t="s">
        <v>177</v>
      </c>
      <c r="D832" s="33" t="s">
        <v>14</v>
      </c>
      <c r="E832" s="34">
        <v>8422.0</v>
      </c>
      <c r="F832" s="33" t="s">
        <v>1309</v>
      </c>
    </row>
    <row r="833" ht="15.75" customHeight="1">
      <c r="A833" s="33" t="s">
        <v>72</v>
      </c>
      <c r="B833" s="33" t="s">
        <v>127</v>
      </c>
      <c r="C833" s="33" t="s">
        <v>127</v>
      </c>
      <c r="D833" s="33" t="s">
        <v>36</v>
      </c>
      <c r="E833" s="34">
        <v>40.26</v>
      </c>
      <c r="F833" s="33" t="s">
        <v>1310</v>
      </c>
    </row>
    <row r="834" ht="15.75" customHeight="1">
      <c r="A834" s="33" t="s">
        <v>72</v>
      </c>
      <c r="B834" s="33" t="s">
        <v>303</v>
      </c>
      <c r="C834" s="33" t="s">
        <v>1311</v>
      </c>
      <c r="D834" s="33" t="s">
        <v>14</v>
      </c>
      <c r="E834" s="34">
        <v>1995.0</v>
      </c>
      <c r="F834" s="33" t="s">
        <v>1312</v>
      </c>
    </row>
    <row r="835" ht="15.75" customHeight="1">
      <c r="A835" s="33" t="s">
        <v>72</v>
      </c>
      <c r="B835" s="33" t="s">
        <v>21</v>
      </c>
      <c r="C835" s="33" t="s">
        <v>21</v>
      </c>
      <c r="D835" s="33" t="s">
        <v>16</v>
      </c>
      <c r="E835" s="34">
        <v>89416.52</v>
      </c>
      <c r="F835" s="33" t="s">
        <v>1313</v>
      </c>
    </row>
    <row r="836" ht="15.75" customHeight="1">
      <c r="A836" s="33" t="s">
        <v>72</v>
      </c>
      <c r="B836" s="33" t="s">
        <v>31</v>
      </c>
      <c r="C836" s="33" t="s">
        <v>31</v>
      </c>
      <c r="D836" s="33" t="s">
        <v>26</v>
      </c>
      <c r="E836" s="34">
        <v>74639.11</v>
      </c>
      <c r="F836" s="33" t="s">
        <v>1314</v>
      </c>
    </row>
    <row r="837" ht="15.75" customHeight="1">
      <c r="A837" s="33" t="s">
        <v>72</v>
      </c>
      <c r="B837" s="33" t="s">
        <v>319</v>
      </c>
      <c r="C837" s="33" t="s">
        <v>319</v>
      </c>
      <c r="D837" s="33" t="s">
        <v>14</v>
      </c>
      <c r="E837" s="34">
        <v>450.0</v>
      </c>
      <c r="F837" s="33" t="s">
        <v>1315</v>
      </c>
    </row>
    <row r="838" ht="15.75" customHeight="1">
      <c r="A838" s="33" t="s">
        <v>72</v>
      </c>
      <c r="B838" s="33" t="s">
        <v>277</v>
      </c>
      <c r="C838" s="33" t="s">
        <v>277</v>
      </c>
      <c r="D838" s="33" t="s">
        <v>14</v>
      </c>
      <c r="E838" s="34">
        <v>239.0</v>
      </c>
      <c r="F838" s="33" t="s">
        <v>1316</v>
      </c>
    </row>
    <row r="839" ht="15.75" customHeight="1">
      <c r="A839" s="33" t="s">
        <v>72</v>
      </c>
      <c r="B839" s="33" t="s">
        <v>141</v>
      </c>
      <c r="C839" s="33" t="s">
        <v>141</v>
      </c>
      <c r="D839" s="33" t="s">
        <v>14</v>
      </c>
      <c r="E839" s="34">
        <v>670.27</v>
      </c>
      <c r="F839" s="33" t="s">
        <v>1317</v>
      </c>
    </row>
    <row r="840" ht="15.75" customHeight="1">
      <c r="A840" s="33" t="s">
        <v>72</v>
      </c>
      <c r="B840" s="33" t="s">
        <v>289</v>
      </c>
      <c r="C840" s="33" t="s">
        <v>555</v>
      </c>
      <c r="D840" s="33" t="s">
        <v>14</v>
      </c>
      <c r="E840" s="34">
        <v>60.5</v>
      </c>
      <c r="F840" s="33" t="s">
        <v>1318</v>
      </c>
    </row>
    <row r="841" ht="15.75" customHeight="1">
      <c r="A841" s="33" t="s">
        <v>72</v>
      </c>
      <c r="B841" s="33" t="s">
        <v>274</v>
      </c>
      <c r="C841" s="33" t="s">
        <v>274</v>
      </c>
      <c r="D841" s="33" t="s">
        <v>14</v>
      </c>
      <c r="E841" s="34">
        <v>315.0</v>
      </c>
      <c r="F841" s="33" t="s">
        <v>1319</v>
      </c>
    </row>
    <row r="842" ht="15.75" customHeight="1">
      <c r="A842" s="33" t="s">
        <v>72</v>
      </c>
      <c r="B842" s="33" t="s">
        <v>173</v>
      </c>
      <c r="C842" s="33" t="s">
        <v>1320</v>
      </c>
      <c r="D842" s="33" t="s">
        <v>14</v>
      </c>
      <c r="E842" s="34">
        <v>1700.0</v>
      </c>
      <c r="F842" s="33" t="s">
        <v>1321</v>
      </c>
    </row>
    <row r="843" ht="15.75" customHeight="1">
      <c r="A843" s="33" t="s">
        <v>72</v>
      </c>
      <c r="B843" s="33" t="s">
        <v>196</v>
      </c>
      <c r="C843" s="33" t="s">
        <v>196</v>
      </c>
      <c r="D843" s="33" t="s">
        <v>30</v>
      </c>
      <c r="E843" s="34">
        <v>455.04</v>
      </c>
      <c r="F843" s="33" t="s">
        <v>1322</v>
      </c>
    </row>
    <row r="844" ht="15.75" customHeight="1">
      <c r="A844" s="33" t="s">
        <v>72</v>
      </c>
      <c r="B844" s="33" t="s">
        <v>96</v>
      </c>
      <c r="C844" s="33" t="s">
        <v>925</v>
      </c>
      <c r="D844" s="33" t="s">
        <v>20</v>
      </c>
      <c r="E844" s="34">
        <v>1108.5</v>
      </c>
      <c r="F844" s="33" t="s">
        <v>1323</v>
      </c>
    </row>
    <row r="845" ht="15.75" customHeight="1">
      <c r="A845" s="33" t="s">
        <v>72</v>
      </c>
      <c r="B845" s="33" t="s">
        <v>145</v>
      </c>
      <c r="C845" s="33" t="s">
        <v>564</v>
      </c>
      <c r="D845" s="33" t="s">
        <v>14</v>
      </c>
      <c r="E845" s="34">
        <v>2400.0</v>
      </c>
      <c r="F845" s="33" t="s">
        <v>1324</v>
      </c>
    </row>
    <row r="846" ht="15.75" customHeight="1">
      <c r="A846" s="33" t="s">
        <v>72</v>
      </c>
      <c r="B846" s="33" t="s">
        <v>290</v>
      </c>
      <c r="C846" s="33" t="s">
        <v>568</v>
      </c>
      <c r="D846" s="33" t="s">
        <v>14</v>
      </c>
      <c r="E846" s="34">
        <v>314.95</v>
      </c>
      <c r="F846" s="33" t="s">
        <v>1325</v>
      </c>
    </row>
    <row r="847" ht="15.75" customHeight="1">
      <c r="A847" s="33" t="s">
        <v>72</v>
      </c>
      <c r="B847" s="33" t="s">
        <v>446</v>
      </c>
      <c r="C847" s="33" t="s">
        <v>446</v>
      </c>
      <c r="D847" s="33" t="s">
        <v>14</v>
      </c>
      <c r="E847" s="34">
        <v>15.95</v>
      </c>
      <c r="F847" s="33" t="s">
        <v>1326</v>
      </c>
    </row>
    <row r="848" ht="15.75" customHeight="1">
      <c r="A848" s="33" t="s">
        <v>72</v>
      </c>
      <c r="B848" s="33" t="s">
        <v>99</v>
      </c>
      <c r="C848" s="33" t="s">
        <v>99</v>
      </c>
      <c r="D848" s="33" t="s">
        <v>16</v>
      </c>
      <c r="E848" s="34">
        <v>4775.0</v>
      </c>
      <c r="F848" s="33" t="s">
        <v>704</v>
      </c>
    </row>
    <row r="849" ht="15.75" customHeight="1">
      <c r="A849" s="33" t="s">
        <v>72</v>
      </c>
      <c r="B849" s="33" t="s">
        <v>168</v>
      </c>
      <c r="C849" s="33" t="s">
        <v>889</v>
      </c>
      <c r="D849" s="33" t="s">
        <v>14</v>
      </c>
      <c r="E849" s="34">
        <v>420.0</v>
      </c>
      <c r="F849" s="33" t="s">
        <v>1327</v>
      </c>
    </row>
    <row r="850" ht="15.75" customHeight="1">
      <c r="A850" s="33" t="s">
        <v>72</v>
      </c>
      <c r="B850" s="33" t="s">
        <v>254</v>
      </c>
      <c r="C850" s="33" t="s">
        <v>254</v>
      </c>
      <c r="D850" s="33" t="s">
        <v>14</v>
      </c>
      <c r="E850" s="34">
        <v>1556.34</v>
      </c>
      <c r="F850" s="33" t="s">
        <v>1328</v>
      </c>
    </row>
    <row r="851" ht="15.75" customHeight="1">
      <c r="A851" s="33" t="s">
        <v>72</v>
      </c>
      <c r="B851" s="33" t="s">
        <v>147</v>
      </c>
      <c r="C851" s="33" t="s">
        <v>147</v>
      </c>
      <c r="D851" s="33" t="s">
        <v>14</v>
      </c>
      <c r="E851" s="34">
        <v>21639.6</v>
      </c>
      <c r="F851" s="33" t="s">
        <v>1329</v>
      </c>
    </row>
    <row r="852" ht="15.75" customHeight="1">
      <c r="A852" s="33" t="s">
        <v>72</v>
      </c>
      <c r="B852" s="33" t="s">
        <v>184</v>
      </c>
      <c r="C852" s="33" t="s">
        <v>581</v>
      </c>
      <c r="D852" s="33" t="s">
        <v>30</v>
      </c>
      <c r="E852" s="34">
        <v>517.0</v>
      </c>
      <c r="F852" s="33" t="s">
        <v>1330</v>
      </c>
    </row>
    <row r="853" ht="15.75" customHeight="1">
      <c r="A853" s="33" t="s">
        <v>72</v>
      </c>
      <c r="B853" s="33" t="s">
        <v>144</v>
      </c>
      <c r="C853" s="33" t="s">
        <v>144</v>
      </c>
      <c r="D853" s="33" t="s">
        <v>18</v>
      </c>
      <c r="E853" s="34">
        <v>1593.72</v>
      </c>
      <c r="F853" s="33" t="s">
        <v>708</v>
      </c>
    </row>
    <row r="854" ht="15.75" customHeight="1">
      <c r="A854" s="33" t="s">
        <v>72</v>
      </c>
      <c r="B854" s="33" t="s">
        <v>233</v>
      </c>
      <c r="C854" s="33" t="s">
        <v>583</v>
      </c>
      <c r="D854" s="33" t="s">
        <v>14</v>
      </c>
      <c r="E854" s="34">
        <v>32.69</v>
      </c>
      <c r="F854" s="33" t="s">
        <v>1331</v>
      </c>
    </row>
    <row r="855" ht="15.75" customHeight="1">
      <c r="A855" s="33" t="s">
        <v>72</v>
      </c>
      <c r="B855" s="33" t="s">
        <v>162</v>
      </c>
      <c r="C855" s="33" t="s">
        <v>585</v>
      </c>
      <c r="D855" s="33" t="s">
        <v>14</v>
      </c>
      <c r="E855" s="34">
        <v>965.0</v>
      </c>
      <c r="F855" s="33" t="s">
        <v>1332</v>
      </c>
    </row>
    <row r="856" ht="15.75" customHeight="1">
      <c r="A856" s="33" t="s">
        <v>72</v>
      </c>
      <c r="B856" s="33" t="s">
        <v>219</v>
      </c>
      <c r="C856" s="33" t="s">
        <v>219</v>
      </c>
      <c r="D856" s="33" t="s">
        <v>14</v>
      </c>
      <c r="E856" s="34">
        <v>116.38</v>
      </c>
      <c r="F856" s="33" t="s">
        <v>1333</v>
      </c>
    </row>
    <row r="857" ht="15.75" customHeight="1">
      <c r="A857" s="33" t="s">
        <v>72</v>
      </c>
      <c r="B857" s="33" t="s">
        <v>276</v>
      </c>
      <c r="C857" s="33" t="s">
        <v>1006</v>
      </c>
      <c r="D857" s="33" t="s">
        <v>14</v>
      </c>
      <c r="E857" s="34">
        <v>262.5</v>
      </c>
      <c r="F857" s="33" t="s">
        <v>967</v>
      </c>
    </row>
    <row r="858" ht="15.75" customHeight="1">
      <c r="A858" s="33" t="s">
        <v>72</v>
      </c>
      <c r="B858" s="33" t="s">
        <v>360</v>
      </c>
      <c r="C858" s="33" t="s">
        <v>360</v>
      </c>
      <c r="D858" s="33" t="s">
        <v>14</v>
      </c>
      <c r="E858" s="34">
        <v>150.0</v>
      </c>
      <c r="F858" s="33" t="s">
        <v>1334</v>
      </c>
    </row>
    <row r="859" ht="15.75" customHeight="1">
      <c r="A859" s="33" t="s">
        <v>72</v>
      </c>
      <c r="B859" s="33" t="s">
        <v>130</v>
      </c>
      <c r="C859" s="33" t="s">
        <v>657</v>
      </c>
      <c r="D859" s="33" t="s">
        <v>14</v>
      </c>
      <c r="E859" s="34">
        <v>2351.75</v>
      </c>
      <c r="F859" s="33" t="s">
        <v>1335</v>
      </c>
    </row>
    <row r="860" ht="15.75" customHeight="1">
      <c r="A860" s="33" t="s">
        <v>72</v>
      </c>
      <c r="B860" s="33" t="s">
        <v>103</v>
      </c>
      <c r="C860" s="33" t="s">
        <v>103</v>
      </c>
      <c r="D860" s="33" t="s">
        <v>30</v>
      </c>
      <c r="E860" s="34">
        <v>1438.8</v>
      </c>
      <c r="F860" s="33" t="s">
        <v>1336</v>
      </c>
    </row>
    <row r="861" ht="15.75" customHeight="1">
      <c r="A861" s="33" t="s">
        <v>72</v>
      </c>
      <c r="B861" s="33" t="s">
        <v>229</v>
      </c>
      <c r="C861" s="33" t="s">
        <v>592</v>
      </c>
      <c r="D861" s="33" t="s">
        <v>14</v>
      </c>
      <c r="E861" s="34">
        <v>500.0</v>
      </c>
      <c r="F861" s="33" t="s">
        <v>1337</v>
      </c>
    </row>
    <row r="862" ht="15.75" customHeight="1">
      <c r="A862" s="33" t="s">
        <v>72</v>
      </c>
      <c r="B862" s="33" t="s">
        <v>29</v>
      </c>
      <c r="C862" s="33" t="s">
        <v>29</v>
      </c>
      <c r="D862" s="33" t="s">
        <v>28</v>
      </c>
      <c r="E862" s="34">
        <v>28242.19</v>
      </c>
      <c r="F862" s="33" t="s">
        <v>1338</v>
      </c>
    </row>
    <row r="863" ht="15.75" customHeight="1">
      <c r="A863" s="33" t="s">
        <v>72</v>
      </c>
      <c r="B863" s="33" t="s">
        <v>97</v>
      </c>
      <c r="C863" s="33" t="s">
        <v>650</v>
      </c>
      <c r="D863" s="33" t="s">
        <v>30</v>
      </c>
      <c r="E863" s="34">
        <v>86000.0</v>
      </c>
      <c r="F863" s="33" t="s">
        <v>651</v>
      </c>
    </row>
    <row r="864" ht="15.75" customHeight="1">
      <c r="A864" s="33" t="s">
        <v>72</v>
      </c>
      <c r="B864" s="33" t="s">
        <v>161</v>
      </c>
      <c r="C864" s="33" t="s">
        <v>596</v>
      </c>
      <c r="D864" s="33" t="s">
        <v>38</v>
      </c>
      <c r="E864" s="34">
        <v>270.06</v>
      </c>
      <c r="F864" s="33" t="s">
        <v>1339</v>
      </c>
    </row>
    <row r="865" ht="15.75" customHeight="1">
      <c r="A865" s="33" t="s">
        <v>72</v>
      </c>
      <c r="B865" s="33" t="s">
        <v>338</v>
      </c>
      <c r="C865" s="33" t="s">
        <v>338</v>
      </c>
      <c r="D865" s="33" t="s">
        <v>16</v>
      </c>
      <c r="E865" s="34">
        <v>50.0</v>
      </c>
      <c r="F865" s="33" t="s">
        <v>720</v>
      </c>
    </row>
    <row r="866" ht="15.75" customHeight="1">
      <c r="A866" s="33" t="s">
        <v>72</v>
      </c>
      <c r="B866" s="33" t="s">
        <v>395</v>
      </c>
      <c r="C866" s="33" t="s">
        <v>1340</v>
      </c>
      <c r="D866" s="33" t="s">
        <v>24</v>
      </c>
      <c r="E866" s="34">
        <v>585.0</v>
      </c>
      <c r="F866" s="33" t="s">
        <v>1341</v>
      </c>
    </row>
    <row r="867" ht="15.75" customHeight="1">
      <c r="A867" s="33" t="s">
        <v>72</v>
      </c>
      <c r="B867" s="33" t="s">
        <v>375</v>
      </c>
      <c r="C867" s="33" t="s">
        <v>375</v>
      </c>
      <c r="D867" s="33" t="s">
        <v>14</v>
      </c>
      <c r="E867" s="34">
        <v>749.0</v>
      </c>
      <c r="F867" s="33" t="s">
        <v>1342</v>
      </c>
    </row>
    <row r="868" ht="15.75" customHeight="1">
      <c r="A868" s="33" t="s">
        <v>72</v>
      </c>
      <c r="B868" s="33" t="s">
        <v>102</v>
      </c>
      <c r="C868" s="33" t="s">
        <v>615</v>
      </c>
      <c r="D868" s="33" t="s">
        <v>14</v>
      </c>
      <c r="E868" s="34">
        <v>11035.42</v>
      </c>
      <c r="F868" s="33" t="s">
        <v>616</v>
      </c>
    </row>
    <row r="869" ht="15.75" customHeight="1">
      <c r="A869" s="33" t="s">
        <v>72</v>
      </c>
      <c r="B869" s="33" t="s">
        <v>94</v>
      </c>
      <c r="C869" s="33" t="s">
        <v>619</v>
      </c>
      <c r="D869" s="33" t="s">
        <v>22</v>
      </c>
      <c r="E869" s="34">
        <v>13419.75</v>
      </c>
      <c r="F869" s="33" t="s">
        <v>1343</v>
      </c>
    </row>
    <row r="870" ht="15.75" customHeight="1">
      <c r="A870" s="33" t="s">
        <v>72</v>
      </c>
      <c r="B870" s="33" t="s">
        <v>113</v>
      </c>
      <c r="C870" s="33" t="s">
        <v>540</v>
      </c>
      <c r="D870" s="33" t="s">
        <v>14</v>
      </c>
      <c r="E870" s="34">
        <v>282.05</v>
      </c>
      <c r="F870" s="33" t="s">
        <v>1344</v>
      </c>
    </row>
    <row r="871" ht="15.75" customHeight="1">
      <c r="A871" s="33" t="s">
        <v>72</v>
      </c>
      <c r="B871" s="33" t="s">
        <v>366</v>
      </c>
      <c r="C871" s="33" t="s">
        <v>366</v>
      </c>
      <c r="D871" s="33" t="s">
        <v>38</v>
      </c>
      <c r="E871" s="34">
        <v>144.84</v>
      </c>
      <c r="F871" s="33" t="s">
        <v>1345</v>
      </c>
    </row>
    <row r="872" ht="15.75" customHeight="1">
      <c r="A872" s="33" t="s">
        <v>72</v>
      </c>
      <c r="B872" s="33" t="s">
        <v>39</v>
      </c>
      <c r="C872" s="33" t="s">
        <v>39</v>
      </c>
      <c r="D872" s="33" t="s">
        <v>16</v>
      </c>
      <c r="E872" s="34">
        <v>504.43</v>
      </c>
      <c r="F872" s="33" t="s">
        <v>1346</v>
      </c>
    </row>
    <row r="873" ht="15.75" customHeight="1">
      <c r="A873" s="33" t="s">
        <v>72</v>
      </c>
      <c r="B873" s="33" t="s">
        <v>39</v>
      </c>
      <c r="C873" s="33" t="s">
        <v>39</v>
      </c>
      <c r="D873" s="33" t="s">
        <v>16</v>
      </c>
      <c r="E873" s="34">
        <v>2400.83</v>
      </c>
      <c r="F873" s="33" t="s">
        <v>1347</v>
      </c>
    </row>
    <row r="874" ht="15.75" customHeight="1">
      <c r="A874" s="33" t="s">
        <v>72</v>
      </c>
      <c r="B874" s="33" t="s">
        <v>33</v>
      </c>
      <c r="C874" s="33" t="s">
        <v>785</v>
      </c>
      <c r="D874" s="33" t="s">
        <v>22</v>
      </c>
      <c r="E874" s="34">
        <v>5783.32</v>
      </c>
      <c r="F874" s="33" t="s">
        <v>1348</v>
      </c>
    </row>
    <row r="875" ht="15.75" customHeight="1">
      <c r="A875" s="33" t="s">
        <v>72</v>
      </c>
      <c r="B875" s="33" t="s">
        <v>423</v>
      </c>
      <c r="C875" s="33" t="s">
        <v>1349</v>
      </c>
      <c r="D875" s="33" t="s">
        <v>14</v>
      </c>
      <c r="E875" s="34">
        <v>382.24</v>
      </c>
      <c r="F875" s="33" t="s">
        <v>1350</v>
      </c>
    </row>
    <row r="876" ht="15.75" customHeight="1">
      <c r="A876" s="33" t="s">
        <v>72</v>
      </c>
      <c r="B876" s="33" t="s">
        <v>351</v>
      </c>
      <c r="C876" s="33" t="s">
        <v>351</v>
      </c>
      <c r="D876" s="33" t="s">
        <v>38</v>
      </c>
      <c r="E876" s="34">
        <v>8.75</v>
      </c>
      <c r="F876" s="33" t="s">
        <v>1351</v>
      </c>
    </row>
    <row r="877" ht="15.75" customHeight="1">
      <c r="A877" s="33" t="s">
        <v>72</v>
      </c>
      <c r="B877" s="33" t="s">
        <v>150</v>
      </c>
      <c r="C877" s="33" t="s">
        <v>551</v>
      </c>
      <c r="D877" s="33" t="s">
        <v>26</v>
      </c>
      <c r="E877" s="34">
        <v>416.0</v>
      </c>
      <c r="F877" s="33" t="s">
        <v>677</v>
      </c>
    </row>
    <row r="878" ht="15.75" customHeight="1">
      <c r="A878" s="33" t="s">
        <v>72</v>
      </c>
      <c r="B878" s="33" t="s">
        <v>96</v>
      </c>
      <c r="C878" s="33" t="s">
        <v>925</v>
      </c>
      <c r="D878" s="33" t="s">
        <v>20</v>
      </c>
      <c r="E878" s="34">
        <v>5205.58</v>
      </c>
      <c r="F878" s="33" t="s">
        <v>1296</v>
      </c>
    </row>
    <row r="879" ht="15.75" customHeight="1">
      <c r="A879" s="33" t="s">
        <v>72</v>
      </c>
      <c r="B879" s="33" t="s">
        <v>186</v>
      </c>
      <c r="C879" s="33" t="s">
        <v>186</v>
      </c>
      <c r="D879" s="33" t="s">
        <v>18</v>
      </c>
      <c r="E879" s="34">
        <v>1164.21</v>
      </c>
      <c r="F879" s="33" t="s">
        <v>690</v>
      </c>
    </row>
    <row r="880" ht="15.75" customHeight="1">
      <c r="A880" s="33" t="s">
        <v>72</v>
      </c>
      <c r="B880" s="33" t="s">
        <v>190</v>
      </c>
      <c r="C880" s="33" t="s">
        <v>190</v>
      </c>
      <c r="D880" s="33" t="s">
        <v>40</v>
      </c>
      <c r="E880" s="34">
        <v>1231.89</v>
      </c>
      <c r="F880" s="33" t="s">
        <v>711</v>
      </c>
    </row>
    <row r="881" ht="15.75" customHeight="1">
      <c r="A881" s="33" t="s">
        <v>72</v>
      </c>
      <c r="B881" s="33" t="s">
        <v>125</v>
      </c>
      <c r="C881" s="33" t="s">
        <v>587</v>
      </c>
      <c r="D881" s="33" t="s">
        <v>20</v>
      </c>
      <c r="E881" s="34">
        <v>535.5</v>
      </c>
      <c r="F881" s="33" t="s">
        <v>1352</v>
      </c>
    </row>
    <row r="882" ht="15.75" customHeight="1">
      <c r="A882" s="33" t="s">
        <v>72</v>
      </c>
      <c r="B882" s="33" t="s">
        <v>367</v>
      </c>
      <c r="C882" s="33" t="s">
        <v>367</v>
      </c>
      <c r="D882" s="33" t="s">
        <v>14</v>
      </c>
      <c r="E882" s="34">
        <v>800.0</v>
      </c>
      <c r="F882" s="33" t="s">
        <v>1353</v>
      </c>
    </row>
    <row r="883" ht="15.75" customHeight="1">
      <c r="A883" s="33" t="s">
        <v>72</v>
      </c>
      <c r="B883" s="33" t="s">
        <v>103</v>
      </c>
      <c r="C883" s="33" t="s">
        <v>103</v>
      </c>
      <c r="D883" s="33" t="s">
        <v>30</v>
      </c>
      <c r="E883" s="34">
        <v>10229.25</v>
      </c>
      <c r="F883" s="33" t="s">
        <v>1354</v>
      </c>
    </row>
    <row r="884" ht="15.75" customHeight="1">
      <c r="A884" s="33" t="s">
        <v>72</v>
      </c>
      <c r="B884" s="33" t="s">
        <v>179</v>
      </c>
      <c r="C884" s="33" t="s">
        <v>716</v>
      </c>
      <c r="D884" s="33" t="s">
        <v>14</v>
      </c>
      <c r="E884" s="34">
        <v>489.1</v>
      </c>
      <c r="F884" s="33" t="s">
        <v>717</v>
      </c>
    </row>
    <row r="885" ht="15.75" customHeight="1">
      <c r="A885" s="33" t="s">
        <v>72</v>
      </c>
      <c r="B885" s="33" t="s">
        <v>27</v>
      </c>
      <c r="C885" s="33" t="s">
        <v>829</v>
      </c>
      <c r="D885" s="33" t="s">
        <v>24</v>
      </c>
      <c r="E885" s="34">
        <v>221000.0</v>
      </c>
      <c r="F885" s="33" t="s">
        <v>1355</v>
      </c>
    </row>
    <row r="886" ht="15.75" customHeight="1">
      <c r="A886" s="33" t="s">
        <v>73</v>
      </c>
      <c r="B886" s="33" t="s">
        <v>322</v>
      </c>
      <c r="C886" s="33" t="s">
        <v>322</v>
      </c>
      <c r="D886" s="33" t="s">
        <v>14</v>
      </c>
      <c r="E886" s="34">
        <v>1500.0</v>
      </c>
      <c r="F886" s="33" t="s">
        <v>1356</v>
      </c>
    </row>
    <row r="887" ht="15.75" customHeight="1">
      <c r="A887" s="33" t="s">
        <v>73</v>
      </c>
      <c r="B887" s="33" t="s">
        <v>132</v>
      </c>
      <c r="C887" s="33" t="s">
        <v>132</v>
      </c>
      <c r="D887" s="33" t="s">
        <v>30</v>
      </c>
      <c r="E887" s="34">
        <v>6400.0</v>
      </c>
      <c r="F887" s="33" t="s">
        <v>1357</v>
      </c>
    </row>
    <row r="888" ht="15.75" customHeight="1">
      <c r="A888" s="33" t="s">
        <v>73</v>
      </c>
      <c r="B888" s="33" t="s">
        <v>122</v>
      </c>
      <c r="C888" s="33" t="s">
        <v>529</v>
      </c>
      <c r="D888" s="33" t="s">
        <v>20</v>
      </c>
      <c r="E888" s="34">
        <v>2915.52</v>
      </c>
      <c r="F888" s="33" t="s">
        <v>1358</v>
      </c>
    </row>
    <row r="889" ht="15.75" customHeight="1">
      <c r="A889" s="33" t="s">
        <v>73</v>
      </c>
      <c r="B889" s="33" t="s">
        <v>226</v>
      </c>
      <c r="C889" s="33" t="s">
        <v>1359</v>
      </c>
      <c r="D889" s="33" t="s">
        <v>14</v>
      </c>
      <c r="E889" s="34">
        <v>6457.5</v>
      </c>
      <c r="F889" s="33" t="s">
        <v>1360</v>
      </c>
    </row>
    <row r="890" ht="15.75" customHeight="1">
      <c r="A890" s="33" t="s">
        <v>73</v>
      </c>
      <c r="B890" s="33" t="s">
        <v>137</v>
      </c>
      <c r="C890" s="33" t="s">
        <v>137</v>
      </c>
      <c r="D890" s="33" t="s">
        <v>18</v>
      </c>
      <c r="E890" s="34">
        <v>23835.03</v>
      </c>
      <c r="F890" s="33" t="s">
        <v>1361</v>
      </c>
    </row>
    <row r="891" ht="15.75" customHeight="1">
      <c r="A891" s="33" t="s">
        <v>73</v>
      </c>
      <c r="B891" s="33" t="s">
        <v>308</v>
      </c>
      <c r="C891" s="33" t="s">
        <v>308</v>
      </c>
      <c r="D891" s="33" t="s">
        <v>14</v>
      </c>
      <c r="E891" s="34">
        <v>1800.0</v>
      </c>
      <c r="F891" s="33" t="s">
        <v>1362</v>
      </c>
    </row>
    <row r="892" ht="15.75" customHeight="1">
      <c r="A892" s="33" t="s">
        <v>73</v>
      </c>
      <c r="B892" s="33" t="s">
        <v>230</v>
      </c>
      <c r="C892" s="33" t="s">
        <v>1363</v>
      </c>
      <c r="D892" s="33" t="s">
        <v>36</v>
      </c>
      <c r="E892" s="34">
        <v>138.16</v>
      </c>
      <c r="F892" s="33" t="s">
        <v>1364</v>
      </c>
    </row>
    <row r="893" ht="15.75" customHeight="1">
      <c r="A893" s="33" t="s">
        <v>73</v>
      </c>
      <c r="B893" s="33" t="s">
        <v>113</v>
      </c>
      <c r="C893" s="33" t="s">
        <v>540</v>
      </c>
      <c r="D893" s="33" t="s">
        <v>14</v>
      </c>
      <c r="E893" s="34">
        <v>3651.5</v>
      </c>
      <c r="F893" s="33" t="s">
        <v>1365</v>
      </c>
    </row>
    <row r="894" ht="15.75" customHeight="1">
      <c r="A894" s="33" t="s">
        <v>73</v>
      </c>
      <c r="B894" s="33" t="s">
        <v>291</v>
      </c>
      <c r="C894" s="33" t="s">
        <v>291</v>
      </c>
      <c r="D894" s="33" t="s">
        <v>38</v>
      </c>
      <c r="E894" s="34">
        <v>181.05</v>
      </c>
      <c r="F894" s="33" t="s">
        <v>1366</v>
      </c>
    </row>
    <row r="895" ht="15.75" customHeight="1">
      <c r="A895" s="33" t="s">
        <v>73</v>
      </c>
      <c r="B895" s="33" t="s">
        <v>127</v>
      </c>
      <c r="C895" s="33" t="s">
        <v>127</v>
      </c>
      <c r="D895" s="33" t="s">
        <v>36</v>
      </c>
      <c r="E895" s="34">
        <v>1948.02</v>
      </c>
      <c r="F895" s="33" t="s">
        <v>1367</v>
      </c>
    </row>
    <row r="896" ht="15.75" customHeight="1">
      <c r="A896" s="33" t="s">
        <v>73</v>
      </c>
      <c r="B896" s="33" t="s">
        <v>39</v>
      </c>
      <c r="C896" s="33" t="s">
        <v>39</v>
      </c>
      <c r="D896" s="33" t="s">
        <v>16</v>
      </c>
      <c r="E896" s="34">
        <v>751.2</v>
      </c>
      <c r="F896" s="33" t="s">
        <v>1368</v>
      </c>
    </row>
    <row r="897" ht="15.75" customHeight="1">
      <c r="A897" s="33" t="s">
        <v>73</v>
      </c>
      <c r="B897" s="33" t="s">
        <v>39</v>
      </c>
      <c r="C897" s="33" t="s">
        <v>39</v>
      </c>
      <c r="D897" s="33" t="s">
        <v>16</v>
      </c>
      <c r="E897" s="34">
        <v>2414.32</v>
      </c>
      <c r="F897" s="33" t="s">
        <v>1369</v>
      </c>
    </row>
    <row r="898" ht="15.75" customHeight="1">
      <c r="A898" s="33" t="s">
        <v>73</v>
      </c>
      <c r="B898" s="33" t="s">
        <v>31</v>
      </c>
      <c r="C898" s="33" t="s">
        <v>31</v>
      </c>
      <c r="D898" s="33" t="s">
        <v>26</v>
      </c>
      <c r="E898" s="34">
        <v>34117.9</v>
      </c>
      <c r="F898" s="33" t="s">
        <v>1370</v>
      </c>
    </row>
    <row r="899" ht="15.75" customHeight="1">
      <c r="A899" s="33" t="s">
        <v>73</v>
      </c>
      <c r="B899" s="33" t="s">
        <v>351</v>
      </c>
      <c r="C899" s="33" t="s">
        <v>351</v>
      </c>
      <c r="D899" s="33" t="s">
        <v>38</v>
      </c>
      <c r="E899" s="34">
        <v>31.89</v>
      </c>
      <c r="F899" s="33" t="s">
        <v>738</v>
      </c>
    </row>
    <row r="900" ht="15.75" customHeight="1">
      <c r="A900" s="33" t="s">
        <v>73</v>
      </c>
      <c r="B900" s="33" t="s">
        <v>247</v>
      </c>
      <c r="C900" s="33" t="s">
        <v>961</v>
      </c>
      <c r="D900" s="33" t="s">
        <v>14</v>
      </c>
      <c r="E900" s="34">
        <v>133.0</v>
      </c>
      <c r="F900" s="33" t="s">
        <v>1371</v>
      </c>
    </row>
    <row r="901" ht="15.75" customHeight="1">
      <c r="A901" s="33" t="s">
        <v>73</v>
      </c>
      <c r="B901" s="33" t="s">
        <v>150</v>
      </c>
      <c r="C901" s="33" t="s">
        <v>551</v>
      </c>
      <c r="D901" s="33" t="s">
        <v>26</v>
      </c>
      <c r="E901" s="34">
        <v>1270.0</v>
      </c>
      <c r="F901" s="33" t="s">
        <v>1372</v>
      </c>
    </row>
    <row r="902" ht="15.75" customHeight="1">
      <c r="A902" s="33" t="s">
        <v>73</v>
      </c>
      <c r="B902" s="33" t="s">
        <v>1053</v>
      </c>
      <c r="C902" s="33" t="s">
        <v>117</v>
      </c>
      <c r="D902" s="33" t="s">
        <v>14</v>
      </c>
      <c r="E902" s="34">
        <v>9256.0</v>
      </c>
      <c r="F902" s="33" t="s">
        <v>1373</v>
      </c>
    </row>
    <row r="903" ht="15.75" customHeight="1">
      <c r="A903" s="33" t="s">
        <v>73</v>
      </c>
      <c r="B903" s="33" t="s">
        <v>277</v>
      </c>
      <c r="C903" s="33" t="s">
        <v>277</v>
      </c>
      <c r="D903" s="33" t="s">
        <v>14</v>
      </c>
      <c r="E903" s="34">
        <v>139.0</v>
      </c>
      <c r="F903" s="33" t="s">
        <v>1374</v>
      </c>
    </row>
    <row r="904" ht="15.75" customHeight="1">
      <c r="A904" s="33" t="s">
        <v>73</v>
      </c>
      <c r="B904" s="33" t="s">
        <v>218</v>
      </c>
      <c r="C904" s="33" t="s">
        <v>553</v>
      </c>
      <c r="D904" s="33" t="s">
        <v>40</v>
      </c>
      <c r="E904" s="34">
        <v>381.0</v>
      </c>
      <c r="F904" s="33" t="s">
        <v>1375</v>
      </c>
    </row>
    <row r="905" ht="15.75" customHeight="1">
      <c r="A905" s="33" t="s">
        <v>73</v>
      </c>
      <c r="B905" s="33" t="s">
        <v>146</v>
      </c>
      <c r="C905" s="33" t="s">
        <v>1056</v>
      </c>
      <c r="D905" s="33" t="s">
        <v>18</v>
      </c>
      <c r="E905" s="34">
        <v>3667.03</v>
      </c>
      <c r="F905" s="33" t="s">
        <v>1376</v>
      </c>
    </row>
    <row r="906" ht="15.75" customHeight="1">
      <c r="A906" s="33" t="s">
        <v>73</v>
      </c>
      <c r="B906" s="33" t="s">
        <v>35</v>
      </c>
      <c r="C906" s="33" t="s">
        <v>35</v>
      </c>
      <c r="D906" s="33" t="s">
        <v>22</v>
      </c>
      <c r="E906" s="34">
        <v>52157.5</v>
      </c>
      <c r="F906" s="33" t="s">
        <v>1377</v>
      </c>
    </row>
    <row r="907" ht="15.75" customHeight="1">
      <c r="A907" s="33" t="s">
        <v>73</v>
      </c>
      <c r="B907" s="33" t="s">
        <v>96</v>
      </c>
      <c r="C907" s="33" t="s">
        <v>925</v>
      </c>
      <c r="D907" s="33" t="s">
        <v>20</v>
      </c>
      <c r="E907" s="34">
        <v>10306.91</v>
      </c>
      <c r="F907" s="33" t="s">
        <v>1378</v>
      </c>
    </row>
    <row r="908" ht="15.75" customHeight="1">
      <c r="A908" s="33" t="s">
        <v>73</v>
      </c>
      <c r="B908" s="33" t="s">
        <v>25</v>
      </c>
      <c r="C908" s="33" t="s">
        <v>1209</v>
      </c>
      <c r="D908" s="33" t="s">
        <v>18</v>
      </c>
      <c r="E908" s="34">
        <v>40747.0</v>
      </c>
      <c r="F908" s="33" t="s">
        <v>1379</v>
      </c>
    </row>
    <row r="909" ht="15.75" customHeight="1">
      <c r="A909" s="33" t="s">
        <v>73</v>
      </c>
      <c r="B909" s="33" t="s">
        <v>145</v>
      </c>
      <c r="C909" s="33" t="s">
        <v>564</v>
      </c>
      <c r="D909" s="33" t="s">
        <v>14</v>
      </c>
      <c r="E909" s="34">
        <v>600.0</v>
      </c>
      <c r="F909" s="33" t="s">
        <v>1380</v>
      </c>
    </row>
    <row r="910" ht="15.75" customHeight="1">
      <c r="A910" s="33" t="s">
        <v>73</v>
      </c>
      <c r="B910" s="33" t="s">
        <v>385</v>
      </c>
      <c r="C910" s="33" t="s">
        <v>1381</v>
      </c>
      <c r="D910" s="33" t="s">
        <v>14</v>
      </c>
      <c r="E910" s="34">
        <v>640.9</v>
      </c>
      <c r="F910" s="33" t="s">
        <v>1382</v>
      </c>
    </row>
    <row r="911" ht="15.75" customHeight="1">
      <c r="A911" s="33" t="s">
        <v>73</v>
      </c>
      <c r="B911" s="33" t="s">
        <v>290</v>
      </c>
      <c r="C911" s="33" t="s">
        <v>568</v>
      </c>
      <c r="D911" s="33" t="s">
        <v>14</v>
      </c>
      <c r="E911" s="34">
        <v>93.0</v>
      </c>
      <c r="F911" s="33" t="s">
        <v>1383</v>
      </c>
    </row>
    <row r="912" ht="15.75" customHeight="1">
      <c r="A912" s="33" t="s">
        <v>73</v>
      </c>
      <c r="B912" s="33" t="s">
        <v>443</v>
      </c>
      <c r="C912" s="33" t="s">
        <v>443</v>
      </c>
      <c r="D912" s="33" t="s">
        <v>14</v>
      </c>
      <c r="E912" s="34">
        <v>40.0</v>
      </c>
      <c r="F912" s="33" t="s">
        <v>1384</v>
      </c>
    </row>
    <row r="913" ht="15.75" customHeight="1">
      <c r="A913" s="33" t="s">
        <v>73</v>
      </c>
      <c r="B913" s="33" t="s">
        <v>314</v>
      </c>
      <c r="C913" s="33" t="s">
        <v>314</v>
      </c>
      <c r="D913" s="33" t="s">
        <v>14</v>
      </c>
      <c r="E913" s="34">
        <v>150.0</v>
      </c>
      <c r="F913" s="33" t="s">
        <v>1385</v>
      </c>
    </row>
    <row r="914" ht="15.75" customHeight="1">
      <c r="A914" s="33" t="s">
        <v>73</v>
      </c>
      <c r="B914" s="33" t="s">
        <v>191</v>
      </c>
      <c r="C914" s="33" t="s">
        <v>191</v>
      </c>
      <c r="D914" s="33" t="s">
        <v>14</v>
      </c>
      <c r="E914" s="34">
        <v>495.0</v>
      </c>
      <c r="F914" s="33" t="s">
        <v>933</v>
      </c>
    </row>
    <row r="915" ht="15.75" customHeight="1">
      <c r="A915" s="33" t="s">
        <v>73</v>
      </c>
      <c r="B915" s="33" t="s">
        <v>15</v>
      </c>
      <c r="C915" s="33" t="s">
        <v>15</v>
      </c>
      <c r="D915" s="33" t="s">
        <v>20</v>
      </c>
      <c r="E915" s="34">
        <v>222362.51</v>
      </c>
      <c r="F915" s="33" t="s">
        <v>749</v>
      </c>
    </row>
    <row r="916" ht="15.75" customHeight="1">
      <c r="A916" s="33" t="s">
        <v>73</v>
      </c>
      <c r="B916" s="33" t="s">
        <v>244</v>
      </c>
      <c r="C916" s="33" t="s">
        <v>1386</v>
      </c>
      <c r="D916" s="33" t="s">
        <v>14</v>
      </c>
      <c r="E916" s="34">
        <v>1278.31</v>
      </c>
      <c r="F916" s="33" t="s">
        <v>1387</v>
      </c>
    </row>
    <row r="917" ht="15.75" customHeight="1">
      <c r="A917" s="33" t="s">
        <v>73</v>
      </c>
      <c r="B917" s="33" t="s">
        <v>162</v>
      </c>
      <c r="C917" s="33" t="s">
        <v>585</v>
      </c>
      <c r="D917" s="33" t="s">
        <v>14</v>
      </c>
      <c r="E917" s="34">
        <v>5931.16</v>
      </c>
      <c r="F917" s="33" t="s">
        <v>1388</v>
      </c>
    </row>
    <row r="918" ht="15.75" customHeight="1">
      <c r="A918" s="33" t="s">
        <v>73</v>
      </c>
      <c r="B918" s="33" t="s">
        <v>223</v>
      </c>
      <c r="C918" s="33" t="s">
        <v>852</v>
      </c>
      <c r="D918" s="33" t="s">
        <v>14</v>
      </c>
      <c r="E918" s="34">
        <v>112.42</v>
      </c>
      <c r="F918" s="33" t="s">
        <v>1389</v>
      </c>
    </row>
    <row r="919" ht="15.75" customHeight="1">
      <c r="A919" s="33" t="s">
        <v>73</v>
      </c>
      <c r="B919" s="33" t="s">
        <v>125</v>
      </c>
      <c r="C919" s="33" t="s">
        <v>587</v>
      </c>
      <c r="D919" s="33" t="s">
        <v>20</v>
      </c>
      <c r="E919" s="34">
        <v>435.0</v>
      </c>
      <c r="F919" s="33" t="s">
        <v>1390</v>
      </c>
    </row>
    <row r="920" ht="15.75" customHeight="1">
      <c r="A920" s="33" t="s">
        <v>73</v>
      </c>
      <c r="B920" s="33" t="s">
        <v>103</v>
      </c>
      <c r="C920" s="33" t="s">
        <v>103</v>
      </c>
      <c r="D920" s="33" t="s">
        <v>30</v>
      </c>
      <c r="E920" s="34">
        <v>8008.75</v>
      </c>
      <c r="F920" s="33" t="s">
        <v>1391</v>
      </c>
    </row>
    <row r="921" ht="15.75" customHeight="1">
      <c r="A921" s="33" t="s">
        <v>73</v>
      </c>
      <c r="B921" s="33" t="s">
        <v>121</v>
      </c>
      <c r="C921" s="33" t="s">
        <v>121</v>
      </c>
      <c r="D921" s="33" t="s">
        <v>14</v>
      </c>
      <c r="E921" s="34">
        <v>4700.0</v>
      </c>
      <c r="F921" s="33" t="s">
        <v>1392</v>
      </c>
    </row>
    <row r="922" ht="15.75" customHeight="1">
      <c r="A922" s="33" t="s">
        <v>73</v>
      </c>
      <c r="B922" s="33" t="s">
        <v>159</v>
      </c>
      <c r="C922" s="33" t="s">
        <v>903</v>
      </c>
      <c r="D922" s="33" t="s">
        <v>14</v>
      </c>
      <c r="E922" s="34">
        <v>13290.0</v>
      </c>
      <c r="F922" s="33" t="s">
        <v>1393</v>
      </c>
    </row>
    <row r="923" ht="15.75" customHeight="1">
      <c r="A923" s="33" t="s">
        <v>73</v>
      </c>
      <c r="B923" s="33" t="s">
        <v>161</v>
      </c>
      <c r="C923" s="33" t="s">
        <v>596</v>
      </c>
      <c r="D923" s="33" t="s">
        <v>38</v>
      </c>
      <c r="E923" s="34">
        <v>1194.1</v>
      </c>
      <c r="F923" s="33" t="s">
        <v>1394</v>
      </c>
    </row>
    <row r="924" ht="15.75" customHeight="1">
      <c r="A924" s="33" t="s">
        <v>73</v>
      </c>
      <c r="B924" s="33" t="s">
        <v>163</v>
      </c>
      <c r="C924" s="33" t="s">
        <v>163</v>
      </c>
      <c r="D924" s="33" t="s">
        <v>14</v>
      </c>
      <c r="E924" s="34">
        <v>1010.22</v>
      </c>
      <c r="F924" s="33" t="s">
        <v>1395</v>
      </c>
    </row>
    <row r="925" ht="15.75" customHeight="1">
      <c r="A925" s="33" t="s">
        <v>73</v>
      </c>
      <c r="B925" s="33" t="s">
        <v>180</v>
      </c>
      <c r="C925" s="33" t="s">
        <v>180</v>
      </c>
      <c r="D925" s="33" t="s">
        <v>36</v>
      </c>
      <c r="E925" s="34">
        <v>875.9</v>
      </c>
      <c r="F925" s="33" t="s">
        <v>1396</v>
      </c>
    </row>
    <row r="926" ht="15.75" customHeight="1">
      <c r="A926" s="33" t="s">
        <v>73</v>
      </c>
      <c r="B926" s="33" t="s">
        <v>369</v>
      </c>
      <c r="C926" s="33" t="s">
        <v>369</v>
      </c>
      <c r="D926" s="33" t="s">
        <v>36</v>
      </c>
      <c r="E926" s="34">
        <v>63.95</v>
      </c>
      <c r="F926" s="33" t="s">
        <v>1397</v>
      </c>
    </row>
    <row r="927" ht="15.75" customHeight="1">
      <c r="A927" s="33" t="s">
        <v>73</v>
      </c>
      <c r="B927" s="33" t="s">
        <v>382</v>
      </c>
      <c r="C927" s="33" t="s">
        <v>382</v>
      </c>
      <c r="D927" s="33" t="s">
        <v>36</v>
      </c>
      <c r="E927" s="34">
        <v>49.91</v>
      </c>
      <c r="F927" s="33" t="s">
        <v>1398</v>
      </c>
    </row>
    <row r="928" ht="15.75" customHeight="1">
      <c r="A928" s="33" t="s">
        <v>73</v>
      </c>
      <c r="B928" s="33" t="s">
        <v>316</v>
      </c>
      <c r="C928" s="33" t="s">
        <v>316</v>
      </c>
      <c r="D928" s="33" t="s">
        <v>20</v>
      </c>
      <c r="E928" s="34">
        <v>315.0</v>
      </c>
      <c r="F928" s="33" t="s">
        <v>1399</v>
      </c>
    </row>
    <row r="929" ht="15.75" customHeight="1">
      <c r="A929" s="33" t="s">
        <v>73</v>
      </c>
      <c r="B929" s="33" t="s">
        <v>495</v>
      </c>
      <c r="C929" s="33" t="s">
        <v>495</v>
      </c>
      <c r="D929" s="33" t="s">
        <v>14</v>
      </c>
      <c r="E929" s="34">
        <v>35.0</v>
      </c>
      <c r="F929" s="33" t="s">
        <v>950</v>
      </c>
    </row>
    <row r="930" ht="15.75" customHeight="1">
      <c r="A930" s="33" t="s">
        <v>73</v>
      </c>
      <c r="B930" s="33" t="s">
        <v>119</v>
      </c>
      <c r="C930" s="33" t="s">
        <v>119</v>
      </c>
      <c r="D930" s="33" t="s">
        <v>14</v>
      </c>
      <c r="E930" s="34">
        <v>19843.49</v>
      </c>
      <c r="F930" s="33" t="s">
        <v>1400</v>
      </c>
    </row>
    <row r="931" ht="15.75" customHeight="1">
      <c r="A931" s="33" t="s">
        <v>73</v>
      </c>
      <c r="B931" s="33" t="s">
        <v>197</v>
      </c>
      <c r="C931" s="33" t="s">
        <v>197</v>
      </c>
      <c r="D931" s="33" t="s">
        <v>14</v>
      </c>
      <c r="E931" s="34">
        <v>916.67</v>
      </c>
      <c r="F931" s="33" t="s">
        <v>1401</v>
      </c>
    </row>
    <row r="932" ht="15.75" customHeight="1">
      <c r="A932" s="33" t="s">
        <v>74</v>
      </c>
      <c r="B932" s="33" t="s">
        <v>413</v>
      </c>
      <c r="C932" s="33" t="s">
        <v>413</v>
      </c>
      <c r="D932" s="33" t="s">
        <v>14</v>
      </c>
      <c r="E932" s="34">
        <v>450.0</v>
      </c>
      <c r="F932" s="33" t="s">
        <v>1402</v>
      </c>
    </row>
    <row r="933" ht="15.75" customHeight="1">
      <c r="A933" s="33" t="s">
        <v>74</v>
      </c>
      <c r="B933" s="33" t="s">
        <v>319</v>
      </c>
      <c r="C933" s="33" t="s">
        <v>319</v>
      </c>
      <c r="D933" s="33" t="s">
        <v>14</v>
      </c>
      <c r="E933" s="34">
        <v>150.0</v>
      </c>
      <c r="F933" s="33" t="s">
        <v>1403</v>
      </c>
    </row>
    <row r="934" ht="15.75" customHeight="1">
      <c r="A934" s="33" t="s">
        <v>74</v>
      </c>
      <c r="B934" s="33" t="s">
        <v>222</v>
      </c>
      <c r="C934" s="33" t="s">
        <v>664</v>
      </c>
      <c r="D934" s="33" t="s">
        <v>38</v>
      </c>
      <c r="E934" s="34">
        <v>304.87</v>
      </c>
      <c r="F934" s="33" t="s">
        <v>1404</v>
      </c>
    </row>
    <row r="935" ht="15.75" customHeight="1">
      <c r="A935" s="33" t="s">
        <v>74</v>
      </c>
      <c r="B935" s="33" t="s">
        <v>300</v>
      </c>
      <c r="C935" s="33" t="s">
        <v>300</v>
      </c>
      <c r="D935" s="33" t="s">
        <v>14</v>
      </c>
      <c r="E935" s="34">
        <v>99.0</v>
      </c>
      <c r="F935" s="33" t="s">
        <v>1405</v>
      </c>
    </row>
    <row r="936" ht="15.75" customHeight="1">
      <c r="A936" s="33" t="s">
        <v>74</v>
      </c>
      <c r="B936" s="33" t="s">
        <v>110</v>
      </c>
      <c r="C936" s="33" t="s">
        <v>110</v>
      </c>
      <c r="D936" s="33" t="s">
        <v>36</v>
      </c>
      <c r="E936" s="34">
        <v>4478.45</v>
      </c>
      <c r="F936" s="33" t="s">
        <v>1406</v>
      </c>
    </row>
    <row r="937" ht="15.75" customHeight="1">
      <c r="A937" s="33" t="s">
        <v>74</v>
      </c>
      <c r="B937" s="33" t="s">
        <v>232</v>
      </c>
      <c r="C937" s="33" t="s">
        <v>1407</v>
      </c>
      <c r="D937" s="33" t="s">
        <v>14</v>
      </c>
      <c r="E937" s="34">
        <v>5414.17</v>
      </c>
      <c r="F937" s="33" t="s">
        <v>1408</v>
      </c>
    </row>
    <row r="938" ht="15.75" customHeight="1">
      <c r="A938" s="33" t="s">
        <v>74</v>
      </c>
      <c r="B938" s="33" t="s">
        <v>139</v>
      </c>
      <c r="C938" s="33" t="s">
        <v>732</v>
      </c>
      <c r="D938" s="33" t="s">
        <v>14</v>
      </c>
      <c r="E938" s="34">
        <v>2751.0</v>
      </c>
      <c r="F938" s="33" t="s">
        <v>1409</v>
      </c>
    </row>
    <row r="939" ht="15.75" customHeight="1">
      <c r="A939" s="33" t="s">
        <v>74</v>
      </c>
      <c r="B939" s="33" t="s">
        <v>94</v>
      </c>
      <c r="C939" s="33" t="s">
        <v>619</v>
      </c>
      <c r="D939" s="33" t="s">
        <v>22</v>
      </c>
      <c r="E939" s="34">
        <v>27667.76</v>
      </c>
      <c r="F939" s="33" t="s">
        <v>1410</v>
      </c>
    </row>
    <row r="940" ht="15.75" customHeight="1">
      <c r="A940" s="33" t="s">
        <v>74</v>
      </c>
      <c r="B940" s="33" t="s">
        <v>312</v>
      </c>
      <c r="C940" s="33" t="s">
        <v>831</v>
      </c>
      <c r="D940" s="33" t="s">
        <v>38</v>
      </c>
      <c r="E940" s="34">
        <v>435.0</v>
      </c>
      <c r="F940" s="33" t="s">
        <v>1411</v>
      </c>
    </row>
    <row r="941" ht="15.75" customHeight="1">
      <c r="A941" s="33" t="s">
        <v>74</v>
      </c>
      <c r="B941" s="33" t="s">
        <v>426</v>
      </c>
      <c r="C941" s="33" t="s">
        <v>1412</v>
      </c>
      <c r="D941" s="33" t="s">
        <v>14</v>
      </c>
      <c r="E941" s="34">
        <v>345.0</v>
      </c>
      <c r="F941" s="33" t="s">
        <v>1413</v>
      </c>
    </row>
    <row r="942" ht="15.75" customHeight="1">
      <c r="A942" s="33" t="s">
        <v>74</v>
      </c>
      <c r="B942" s="33" t="s">
        <v>123</v>
      </c>
      <c r="C942" s="33" t="s">
        <v>123</v>
      </c>
      <c r="D942" s="33" t="s">
        <v>20</v>
      </c>
      <c r="E942" s="34">
        <v>564.75</v>
      </c>
      <c r="F942" s="33" t="s">
        <v>1414</v>
      </c>
    </row>
    <row r="943" ht="15.75" customHeight="1">
      <c r="A943" s="33" t="s">
        <v>74</v>
      </c>
      <c r="B943" s="33" t="s">
        <v>95</v>
      </c>
      <c r="C943" s="33" t="s">
        <v>538</v>
      </c>
      <c r="D943" s="33" t="s">
        <v>14</v>
      </c>
      <c r="E943" s="34">
        <v>11969.53</v>
      </c>
      <c r="F943" s="33" t="s">
        <v>539</v>
      </c>
    </row>
    <row r="944" ht="15.75" customHeight="1">
      <c r="A944" s="33" t="s">
        <v>74</v>
      </c>
      <c r="B944" s="33" t="s">
        <v>230</v>
      </c>
      <c r="C944" s="33" t="s">
        <v>1363</v>
      </c>
      <c r="D944" s="33" t="s">
        <v>36</v>
      </c>
      <c r="E944" s="34">
        <v>1337.85</v>
      </c>
      <c r="F944" s="33" t="s">
        <v>1415</v>
      </c>
    </row>
    <row r="945" ht="15.75" customHeight="1">
      <c r="A945" s="33" t="s">
        <v>74</v>
      </c>
      <c r="B945" s="33" t="s">
        <v>275</v>
      </c>
      <c r="C945" s="33" t="s">
        <v>1153</v>
      </c>
      <c r="D945" s="33" t="s">
        <v>30</v>
      </c>
      <c r="E945" s="34">
        <v>1417.51</v>
      </c>
      <c r="F945" s="33" t="s">
        <v>1416</v>
      </c>
    </row>
    <row r="946" ht="15.75" customHeight="1">
      <c r="A946" s="33" t="s">
        <v>74</v>
      </c>
      <c r="B946" s="33" t="s">
        <v>127</v>
      </c>
      <c r="C946" s="33" t="s">
        <v>127</v>
      </c>
      <c r="D946" s="33" t="s">
        <v>36</v>
      </c>
      <c r="E946" s="34">
        <v>696.5</v>
      </c>
      <c r="F946" s="33" t="s">
        <v>1417</v>
      </c>
    </row>
    <row r="947" ht="15.75" customHeight="1">
      <c r="A947" s="33" t="s">
        <v>74</v>
      </c>
      <c r="B947" s="33" t="s">
        <v>142</v>
      </c>
      <c r="C947" s="33" t="s">
        <v>142</v>
      </c>
      <c r="D947" s="33" t="s">
        <v>36</v>
      </c>
      <c r="E947" s="34">
        <v>2041.07</v>
      </c>
      <c r="F947" s="33" t="s">
        <v>543</v>
      </c>
    </row>
    <row r="948" ht="15.75" customHeight="1">
      <c r="A948" s="33" t="s">
        <v>74</v>
      </c>
      <c r="B948" s="33" t="s">
        <v>116</v>
      </c>
      <c r="C948" s="33" t="s">
        <v>116</v>
      </c>
      <c r="D948" s="33" t="s">
        <v>20</v>
      </c>
      <c r="E948" s="34">
        <v>5947.69</v>
      </c>
      <c r="F948" s="33" t="s">
        <v>1418</v>
      </c>
    </row>
    <row r="949" ht="15.75" customHeight="1">
      <c r="A949" s="33" t="s">
        <v>74</v>
      </c>
      <c r="B949" s="33" t="s">
        <v>193</v>
      </c>
      <c r="C949" s="33" t="s">
        <v>1419</v>
      </c>
      <c r="D949" s="33" t="s">
        <v>14</v>
      </c>
      <c r="E949" s="34">
        <v>10000.0</v>
      </c>
      <c r="F949" s="33" t="s">
        <v>1304</v>
      </c>
    </row>
    <row r="950" ht="15.75" customHeight="1">
      <c r="A950" s="33" t="s">
        <v>74</v>
      </c>
      <c r="B950" s="33" t="s">
        <v>496</v>
      </c>
      <c r="C950" s="33" t="s">
        <v>496</v>
      </c>
      <c r="D950" s="33" t="s">
        <v>14</v>
      </c>
      <c r="E950" s="34">
        <v>35.0</v>
      </c>
      <c r="F950" s="33" t="s">
        <v>950</v>
      </c>
    </row>
    <row r="951" ht="15.75" customHeight="1">
      <c r="A951" s="33" t="s">
        <v>74</v>
      </c>
      <c r="B951" s="33" t="s">
        <v>351</v>
      </c>
      <c r="C951" s="33" t="s">
        <v>351</v>
      </c>
      <c r="D951" s="33" t="s">
        <v>38</v>
      </c>
      <c r="E951" s="34">
        <v>71.06</v>
      </c>
      <c r="F951" s="33" t="s">
        <v>1420</v>
      </c>
    </row>
    <row r="952" ht="15.75" customHeight="1">
      <c r="A952" s="33" t="s">
        <v>74</v>
      </c>
      <c r="B952" s="33" t="s">
        <v>247</v>
      </c>
      <c r="C952" s="33" t="s">
        <v>961</v>
      </c>
      <c r="D952" s="33" t="s">
        <v>14</v>
      </c>
      <c r="E952" s="34">
        <v>1512.0</v>
      </c>
      <c r="F952" s="33" t="s">
        <v>1421</v>
      </c>
    </row>
    <row r="953" ht="15.75" customHeight="1">
      <c r="A953" s="33" t="s">
        <v>74</v>
      </c>
      <c r="B953" s="33" t="s">
        <v>301</v>
      </c>
      <c r="C953" s="33" t="s">
        <v>547</v>
      </c>
      <c r="D953" s="33" t="s">
        <v>14</v>
      </c>
      <c r="E953" s="34">
        <v>588.6</v>
      </c>
      <c r="F953" s="33" t="s">
        <v>1422</v>
      </c>
    </row>
    <row r="954" ht="15.75" customHeight="1">
      <c r="A954" s="33" t="s">
        <v>74</v>
      </c>
      <c r="B954" s="33" t="s">
        <v>378</v>
      </c>
      <c r="C954" s="33" t="s">
        <v>1423</v>
      </c>
      <c r="D954" s="33" t="s">
        <v>14</v>
      </c>
      <c r="E954" s="34">
        <v>320.3</v>
      </c>
      <c r="F954" s="33" t="s">
        <v>1424</v>
      </c>
    </row>
    <row r="955" ht="15.75" customHeight="1">
      <c r="A955" s="33" t="s">
        <v>74</v>
      </c>
      <c r="B955" s="33" t="s">
        <v>319</v>
      </c>
      <c r="C955" s="33" t="s">
        <v>319</v>
      </c>
      <c r="D955" s="33" t="s">
        <v>14</v>
      </c>
      <c r="E955" s="34">
        <v>150.0</v>
      </c>
      <c r="F955" s="33" t="s">
        <v>1425</v>
      </c>
    </row>
    <row r="956" ht="15.75" customHeight="1">
      <c r="A956" s="33" t="s">
        <v>74</v>
      </c>
      <c r="B956" s="33" t="s">
        <v>277</v>
      </c>
      <c r="C956" s="33" t="s">
        <v>277</v>
      </c>
      <c r="D956" s="33" t="s">
        <v>14</v>
      </c>
      <c r="E956" s="34">
        <v>224.83</v>
      </c>
      <c r="F956" s="33" t="s">
        <v>1426</v>
      </c>
    </row>
    <row r="957" ht="15.75" customHeight="1">
      <c r="A957" s="33" t="s">
        <v>74</v>
      </c>
      <c r="B957" s="33" t="s">
        <v>218</v>
      </c>
      <c r="C957" s="33" t="s">
        <v>553</v>
      </c>
      <c r="D957" s="33" t="s">
        <v>40</v>
      </c>
      <c r="E957" s="34">
        <v>288.0</v>
      </c>
      <c r="F957" s="33" t="s">
        <v>1375</v>
      </c>
    </row>
    <row r="958" ht="15.75" customHeight="1">
      <c r="A958" s="33" t="s">
        <v>74</v>
      </c>
      <c r="B958" s="33" t="s">
        <v>109</v>
      </c>
      <c r="C958" s="33" t="s">
        <v>109</v>
      </c>
      <c r="D958" s="33" t="s">
        <v>22</v>
      </c>
      <c r="E958" s="34">
        <v>4785.0</v>
      </c>
      <c r="F958" s="33" t="s">
        <v>1427</v>
      </c>
    </row>
    <row r="959" ht="15.75" customHeight="1">
      <c r="A959" s="33" t="s">
        <v>74</v>
      </c>
      <c r="B959" s="33" t="s">
        <v>274</v>
      </c>
      <c r="C959" s="33" t="s">
        <v>274</v>
      </c>
      <c r="D959" s="33" t="s">
        <v>14</v>
      </c>
      <c r="E959" s="34">
        <v>525.0</v>
      </c>
      <c r="F959" s="33" t="s">
        <v>1428</v>
      </c>
    </row>
    <row r="960" ht="15.75" customHeight="1">
      <c r="A960" s="33" t="s">
        <v>74</v>
      </c>
      <c r="B960" s="33" t="s">
        <v>173</v>
      </c>
      <c r="C960" s="33" t="s">
        <v>1320</v>
      </c>
      <c r="D960" s="33" t="s">
        <v>14</v>
      </c>
      <c r="E960" s="34">
        <v>5406.0</v>
      </c>
      <c r="F960" s="33" t="s">
        <v>1429</v>
      </c>
    </row>
    <row r="961" ht="15.75" customHeight="1">
      <c r="A961" s="33" t="s">
        <v>74</v>
      </c>
      <c r="B961" s="33" t="s">
        <v>206</v>
      </c>
      <c r="C961" s="33" t="s">
        <v>1430</v>
      </c>
      <c r="D961" s="33" t="s">
        <v>14</v>
      </c>
      <c r="E961" s="34">
        <v>8100.0</v>
      </c>
      <c r="F961" s="33" t="s">
        <v>1431</v>
      </c>
    </row>
    <row r="962" ht="15.75" customHeight="1">
      <c r="A962" s="33" t="s">
        <v>74</v>
      </c>
      <c r="B962" s="33" t="s">
        <v>196</v>
      </c>
      <c r="C962" s="33" t="s">
        <v>196</v>
      </c>
      <c r="D962" s="33" t="s">
        <v>30</v>
      </c>
      <c r="E962" s="34">
        <v>456.39</v>
      </c>
      <c r="F962" s="33" t="s">
        <v>1432</v>
      </c>
    </row>
    <row r="963" ht="15.75" customHeight="1">
      <c r="A963" s="33" t="s">
        <v>74</v>
      </c>
      <c r="B963" s="33" t="s">
        <v>96</v>
      </c>
      <c r="C963" s="33" t="s">
        <v>925</v>
      </c>
      <c r="D963" s="33" t="s">
        <v>20</v>
      </c>
      <c r="E963" s="34">
        <v>3645.95</v>
      </c>
      <c r="F963" s="33" t="s">
        <v>1433</v>
      </c>
    </row>
    <row r="964" ht="15.75" customHeight="1">
      <c r="A964" s="33" t="s">
        <v>74</v>
      </c>
      <c r="B964" s="33" t="s">
        <v>145</v>
      </c>
      <c r="C964" s="33" t="s">
        <v>564</v>
      </c>
      <c r="D964" s="33" t="s">
        <v>14</v>
      </c>
      <c r="E964" s="34">
        <v>1121.45</v>
      </c>
      <c r="F964" s="33" t="s">
        <v>1434</v>
      </c>
    </row>
    <row r="965" ht="15.75" customHeight="1">
      <c r="A965" s="33" t="s">
        <v>74</v>
      </c>
      <c r="B965" s="33" t="s">
        <v>136</v>
      </c>
      <c r="C965" s="33" t="s">
        <v>136</v>
      </c>
      <c r="D965" s="33" t="s">
        <v>14</v>
      </c>
      <c r="E965" s="34">
        <v>1360.25</v>
      </c>
      <c r="F965" s="33" t="s">
        <v>1435</v>
      </c>
    </row>
    <row r="966" ht="15.75" customHeight="1">
      <c r="A966" s="33" t="s">
        <v>74</v>
      </c>
      <c r="B966" s="33" t="s">
        <v>155</v>
      </c>
      <c r="C966" s="33" t="s">
        <v>1436</v>
      </c>
      <c r="D966" s="33" t="s">
        <v>14</v>
      </c>
      <c r="E966" s="34">
        <v>3975.0</v>
      </c>
      <c r="F966" s="33" t="s">
        <v>1437</v>
      </c>
    </row>
    <row r="967" ht="15.75" customHeight="1">
      <c r="A967" s="33" t="s">
        <v>74</v>
      </c>
      <c r="B967" s="33" t="s">
        <v>389</v>
      </c>
      <c r="C967" s="33" t="s">
        <v>1438</v>
      </c>
      <c r="D967" s="33" t="s">
        <v>14</v>
      </c>
      <c r="E967" s="34">
        <v>245.7</v>
      </c>
      <c r="F967" s="33" t="s">
        <v>1439</v>
      </c>
    </row>
    <row r="968" ht="15.75" customHeight="1">
      <c r="A968" s="33" t="s">
        <v>74</v>
      </c>
      <c r="B968" s="33" t="s">
        <v>166</v>
      </c>
      <c r="C968" s="33" t="s">
        <v>166</v>
      </c>
      <c r="D968" s="33" t="s">
        <v>14</v>
      </c>
      <c r="E968" s="34">
        <v>7153.89</v>
      </c>
      <c r="F968" s="33" t="s">
        <v>1440</v>
      </c>
    </row>
    <row r="969" ht="15.75" customHeight="1">
      <c r="A969" s="33" t="s">
        <v>74</v>
      </c>
      <c r="B969" s="33" t="s">
        <v>320</v>
      </c>
      <c r="C969" s="33" t="s">
        <v>320</v>
      </c>
      <c r="D969" s="33" t="s">
        <v>14</v>
      </c>
      <c r="E969" s="34">
        <v>750.0</v>
      </c>
      <c r="F969" s="33" t="s">
        <v>1441</v>
      </c>
    </row>
    <row r="970" ht="15.75" customHeight="1">
      <c r="A970" s="33" t="s">
        <v>74</v>
      </c>
      <c r="B970" s="33" t="s">
        <v>191</v>
      </c>
      <c r="C970" s="33" t="s">
        <v>191</v>
      </c>
      <c r="D970" s="33" t="s">
        <v>14</v>
      </c>
      <c r="E970" s="34">
        <v>296.0</v>
      </c>
      <c r="F970" s="33" t="s">
        <v>933</v>
      </c>
    </row>
    <row r="971" ht="15.75" customHeight="1">
      <c r="A971" s="33" t="s">
        <v>74</v>
      </c>
      <c r="B971" s="33" t="s">
        <v>99</v>
      </c>
      <c r="C971" s="33" t="s">
        <v>99</v>
      </c>
      <c r="D971" s="33" t="s">
        <v>16</v>
      </c>
      <c r="E971" s="34">
        <v>4575.0</v>
      </c>
      <c r="F971" s="33" t="s">
        <v>1442</v>
      </c>
    </row>
    <row r="972" ht="15.75" customHeight="1">
      <c r="A972" s="33" t="s">
        <v>74</v>
      </c>
      <c r="B972" s="33" t="s">
        <v>15</v>
      </c>
      <c r="C972" s="33" t="s">
        <v>15</v>
      </c>
      <c r="D972" s="33" t="s">
        <v>20</v>
      </c>
      <c r="E972" s="34">
        <v>14611.53</v>
      </c>
      <c r="F972" s="33" t="s">
        <v>749</v>
      </c>
    </row>
    <row r="973" ht="15.75" customHeight="1">
      <c r="A973" s="33" t="s">
        <v>74</v>
      </c>
      <c r="B973" s="33" t="s">
        <v>148</v>
      </c>
      <c r="C973" s="33" t="s">
        <v>751</v>
      </c>
      <c r="D973" s="33" t="s">
        <v>14</v>
      </c>
      <c r="E973" s="34">
        <v>685.87</v>
      </c>
      <c r="F973" s="33" t="s">
        <v>1443</v>
      </c>
    </row>
    <row r="974" ht="15.75" customHeight="1">
      <c r="A974" s="33" t="s">
        <v>74</v>
      </c>
      <c r="B974" s="33" t="s">
        <v>208</v>
      </c>
      <c r="C974" s="33" t="s">
        <v>208</v>
      </c>
      <c r="D974" s="33" t="s">
        <v>14</v>
      </c>
      <c r="E974" s="34">
        <v>969.0</v>
      </c>
      <c r="F974" s="33" t="s">
        <v>1444</v>
      </c>
    </row>
    <row r="975" ht="15.75" customHeight="1">
      <c r="A975" s="33" t="s">
        <v>74</v>
      </c>
      <c r="B975" s="33" t="s">
        <v>184</v>
      </c>
      <c r="C975" s="33" t="s">
        <v>581</v>
      </c>
      <c r="D975" s="33" t="s">
        <v>30</v>
      </c>
      <c r="E975" s="34">
        <v>500.0</v>
      </c>
      <c r="F975" s="33" t="s">
        <v>1330</v>
      </c>
    </row>
    <row r="976" ht="15.75" customHeight="1">
      <c r="A976" s="33" t="s">
        <v>74</v>
      </c>
      <c r="B976" s="33" t="s">
        <v>235</v>
      </c>
      <c r="C976" s="33" t="s">
        <v>842</v>
      </c>
      <c r="D976" s="33" t="s">
        <v>30</v>
      </c>
      <c r="E976" s="34">
        <v>481.65</v>
      </c>
      <c r="F976" s="33" t="s">
        <v>843</v>
      </c>
    </row>
    <row r="977" ht="15.75" customHeight="1">
      <c r="A977" s="33" t="s">
        <v>74</v>
      </c>
      <c r="B977" s="33" t="s">
        <v>144</v>
      </c>
      <c r="C977" s="33" t="s">
        <v>144</v>
      </c>
      <c r="D977" s="33" t="s">
        <v>18</v>
      </c>
      <c r="E977" s="34">
        <v>536.67</v>
      </c>
      <c r="F977" s="33" t="s">
        <v>644</v>
      </c>
    </row>
    <row r="978" ht="15.75" customHeight="1">
      <c r="A978" s="33" t="s">
        <v>74</v>
      </c>
      <c r="B978" s="33" t="s">
        <v>317</v>
      </c>
      <c r="C978" s="33" t="s">
        <v>317</v>
      </c>
      <c r="D978" s="33" t="s">
        <v>14</v>
      </c>
      <c r="E978" s="34">
        <v>1575.0</v>
      </c>
      <c r="F978" s="33" t="s">
        <v>1445</v>
      </c>
    </row>
    <row r="979" ht="15.75" customHeight="1">
      <c r="A979" s="33" t="s">
        <v>74</v>
      </c>
      <c r="B979" s="33" t="s">
        <v>162</v>
      </c>
      <c r="C979" s="33" t="s">
        <v>585</v>
      </c>
      <c r="D979" s="33" t="s">
        <v>14</v>
      </c>
      <c r="E979" s="34">
        <v>1048.38</v>
      </c>
      <c r="F979" s="33" t="s">
        <v>1446</v>
      </c>
    </row>
    <row r="980" ht="15.75" customHeight="1">
      <c r="A980" s="33" t="s">
        <v>74</v>
      </c>
      <c r="B980" s="33" t="s">
        <v>417</v>
      </c>
      <c r="C980" s="33" t="s">
        <v>1447</v>
      </c>
      <c r="D980" s="33" t="s">
        <v>14</v>
      </c>
      <c r="E980" s="34">
        <v>420.0</v>
      </c>
      <c r="F980" s="33" t="s">
        <v>1448</v>
      </c>
    </row>
    <row r="981" ht="15.75" customHeight="1">
      <c r="A981" s="33" t="s">
        <v>74</v>
      </c>
      <c r="B981" s="33" t="s">
        <v>360</v>
      </c>
      <c r="C981" s="33" t="s">
        <v>360</v>
      </c>
      <c r="D981" s="33" t="s">
        <v>14</v>
      </c>
      <c r="E981" s="34">
        <v>150.0</v>
      </c>
      <c r="F981" s="33" t="s">
        <v>1449</v>
      </c>
    </row>
    <row r="982" ht="15.75" customHeight="1">
      <c r="A982" s="33" t="s">
        <v>74</v>
      </c>
      <c r="B982" s="33" t="s">
        <v>103</v>
      </c>
      <c r="C982" s="33" t="s">
        <v>103</v>
      </c>
      <c r="D982" s="33" t="s">
        <v>30</v>
      </c>
      <c r="E982" s="34">
        <v>3574.4</v>
      </c>
      <c r="F982" s="33" t="s">
        <v>1450</v>
      </c>
    </row>
    <row r="983" ht="15.75" customHeight="1">
      <c r="A983" s="33" t="s">
        <v>74</v>
      </c>
      <c r="B983" s="33" t="s">
        <v>121</v>
      </c>
      <c r="C983" s="33" t="s">
        <v>121</v>
      </c>
      <c r="D983" s="33" t="s">
        <v>14</v>
      </c>
      <c r="E983" s="34">
        <v>4500.0</v>
      </c>
      <c r="F983" s="33" t="s">
        <v>1451</v>
      </c>
    </row>
    <row r="984" ht="15.75" customHeight="1">
      <c r="A984" s="33" t="s">
        <v>74</v>
      </c>
      <c r="B984" s="33" t="s">
        <v>298</v>
      </c>
      <c r="C984" s="33" t="s">
        <v>594</v>
      </c>
      <c r="D984" s="33" t="s">
        <v>14</v>
      </c>
      <c r="E984" s="34">
        <v>205.56</v>
      </c>
      <c r="F984" s="33" t="s">
        <v>595</v>
      </c>
    </row>
    <row r="985" ht="15.75" customHeight="1">
      <c r="A985" s="33" t="s">
        <v>74</v>
      </c>
      <c r="B985" s="33" t="s">
        <v>161</v>
      </c>
      <c r="C985" s="33" t="s">
        <v>596</v>
      </c>
      <c r="D985" s="33" t="s">
        <v>38</v>
      </c>
      <c r="E985" s="34">
        <v>271.26</v>
      </c>
      <c r="F985" s="33" t="s">
        <v>1339</v>
      </c>
    </row>
    <row r="986" ht="15.75" customHeight="1">
      <c r="A986" s="33" t="s">
        <v>74</v>
      </c>
      <c r="B986" s="33" t="s">
        <v>179</v>
      </c>
      <c r="C986" s="33" t="s">
        <v>716</v>
      </c>
      <c r="D986" s="33" t="s">
        <v>14</v>
      </c>
      <c r="E986" s="34">
        <v>4187.1</v>
      </c>
      <c r="F986" s="33" t="s">
        <v>1452</v>
      </c>
    </row>
    <row r="987" ht="15.75" customHeight="1">
      <c r="A987" s="33" t="s">
        <v>74</v>
      </c>
      <c r="B987" s="33" t="s">
        <v>338</v>
      </c>
      <c r="C987" s="33" t="s">
        <v>338</v>
      </c>
      <c r="D987" s="33" t="s">
        <v>16</v>
      </c>
      <c r="E987" s="34">
        <v>50.0</v>
      </c>
      <c r="F987" s="33" t="s">
        <v>720</v>
      </c>
    </row>
    <row r="988" ht="15.75" customHeight="1">
      <c r="A988" s="33" t="s">
        <v>74</v>
      </c>
      <c r="B988" s="33" t="s">
        <v>292</v>
      </c>
      <c r="C988" s="33" t="s">
        <v>292</v>
      </c>
      <c r="D988" s="33" t="s">
        <v>18</v>
      </c>
      <c r="E988" s="34">
        <v>231.05</v>
      </c>
      <c r="F988" s="33" t="s">
        <v>599</v>
      </c>
    </row>
    <row r="989" ht="15.75" customHeight="1">
      <c r="A989" s="33" t="s">
        <v>74</v>
      </c>
      <c r="B989" s="33" t="s">
        <v>328</v>
      </c>
      <c r="C989" s="33" t="s">
        <v>328</v>
      </c>
      <c r="D989" s="33" t="s">
        <v>36</v>
      </c>
      <c r="E989" s="34">
        <v>109.05</v>
      </c>
      <c r="F989" s="33" t="s">
        <v>600</v>
      </c>
    </row>
    <row r="990" ht="15.75" customHeight="1">
      <c r="A990" s="33" t="s">
        <v>74</v>
      </c>
      <c r="B990" s="33" t="s">
        <v>242</v>
      </c>
      <c r="C990" s="33" t="s">
        <v>242</v>
      </c>
      <c r="D990" s="33" t="s">
        <v>36</v>
      </c>
      <c r="E990" s="34">
        <v>647.93</v>
      </c>
      <c r="F990" s="33" t="s">
        <v>1453</v>
      </c>
    </row>
    <row r="991" ht="15.75" customHeight="1">
      <c r="A991" s="33" t="s">
        <v>74</v>
      </c>
      <c r="B991" s="33" t="s">
        <v>243</v>
      </c>
      <c r="C991" s="33" t="s">
        <v>243</v>
      </c>
      <c r="D991" s="33" t="s">
        <v>14</v>
      </c>
      <c r="E991" s="34">
        <v>330.36</v>
      </c>
      <c r="F991" s="33" t="s">
        <v>604</v>
      </c>
    </row>
    <row r="992" ht="15.75" customHeight="1">
      <c r="A992" s="33" t="s">
        <v>74</v>
      </c>
      <c r="B992" s="33" t="s">
        <v>246</v>
      </c>
      <c r="C992" s="33" t="s">
        <v>246</v>
      </c>
      <c r="D992" s="33" t="s">
        <v>42</v>
      </c>
      <c r="E992" s="34">
        <v>185.0</v>
      </c>
      <c r="F992" s="33" t="s">
        <v>1454</v>
      </c>
    </row>
    <row r="993" ht="15.75" customHeight="1">
      <c r="A993" s="33" t="s">
        <v>74</v>
      </c>
      <c r="B993" s="33" t="s">
        <v>464</v>
      </c>
      <c r="C993" s="33" t="s">
        <v>464</v>
      </c>
      <c r="D993" s="33" t="s">
        <v>14</v>
      </c>
      <c r="E993" s="34">
        <v>100.0</v>
      </c>
      <c r="F993" s="33" t="s">
        <v>1455</v>
      </c>
    </row>
    <row r="994" ht="15.75" customHeight="1">
      <c r="A994" s="33" t="s">
        <v>74</v>
      </c>
      <c r="B994" s="33" t="s">
        <v>91</v>
      </c>
      <c r="C994" s="33" t="s">
        <v>91</v>
      </c>
      <c r="D994" s="33" t="s">
        <v>32</v>
      </c>
      <c r="E994" s="34">
        <v>16213.4</v>
      </c>
      <c r="F994" s="33" t="s">
        <v>1456</v>
      </c>
    </row>
    <row r="995" ht="15.75" customHeight="1">
      <c r="A995" s="33" t="s">
        <v>74</v>
      </c>
      <c r="B995" s="33" t="s">
        <v>432</v>
      </c>
      <c r="C995" s="33" t="s">
        <v>432</v>
      </c>
      <c r="D995" s="33" t="s">
        <v>14</v>
      </c>
      <c r="E995" s="34">
        <v>150.0</v>
      </c>
      <c r="F995" s="33" t="s">
        <v>1449</v>
      </c>
    </row>
    <row r="996" ht="15.75" customHeight="1">
      <c r="A996" s="33" t="s">
        <v>74</v>
      </c>
      <c r="B996" s="33" t="s">
        <v>172</v>
      </c>
      <c r="C996" s="33" t="s">
        <v>1216</v>
      </c>
      <c r="D996" s="33" t="s">
        <v>14</v>
      </c>
      <c r="E996" s="34">
        <v>7030.0</v>
      </c>
      <c r="F996" s="33" t="s">
        <v>1457</v>
      </c>
    </row>
    <row r="997" ht="15.75" customHeight="1">
      <c r="A997" s="33" t="s">
        <v>74</v>
      </c>
      <c r="B997" s="33" t="s">
        <v>344</v>
      </c>
      <c r="C997" s="33" t="s">
        <v>344</v>
      </c>
      <c r="D997" s="33" t="s">
        <v>14</v>
      </c>
      <c r="E997" s="34">
        <v>100.79</v>
      </c>
      <c r="F997" s="33" t="s">
        <v>1458</v>
      </c>
    </row>
    <row r="998" ht="15.75" customHeight="1">
      <c r="A998" s="33" t="s">
        <v>74</v>
      </c>
      <c r="B998" s="33" t="s">
        <v>220</v>
      </c>
      <c r="C998" s="33" t="s">
        <v>220</v>
      </c>
      <c r="D998" s="33" t="s">
        <v>18</v>
      </c>
      <c r="E998" s="34">
        <v>19.48</v>
      </c>
      <c r="F998" s="33" t="s">
        <v>1459</v>
      </c>
    </row>
    <row r="999" ht="15.75" customHeight="1">
      <c r="A999" s="33" t="s">
        <v>74</v>
      </c>
      <c r="B999" s="33" t="s">
        <v>183</v>
      </c>
      <c r="C999" s="33" t="s">
        <v>183</v>
      </c>
      <c r="D999" s="33" t="s">
        <v>16</v>
      </c>
      <c r="E999" s="34">
        <v>1252.82</v>
      </c>
      <c r="F999" s="33" t="s">
        <v>610</v>
      </c>
    </row>
    <row r="1000" ht="15.75" customHeight="1">
      <c r="A1000" s="33" t="s">
        <v>74</v>
      </c>
      <c r="B1000" s="33" t="s">
        <v>350</v>
      </c>
      <c r="C1000" s="33" t="s">
        <v>350</v>
      </c>
      <c r="D1000" s="33" t="s">
        <v>14</v>
      </c>
      <c r="E1000" s="34">
        <v>799.92</v>
      </c>
      <c r="F1000" s="33" t="s">
        <v>1460</v>
      </c>
    </row>
    <row r="1001" ht="15.75" customHeight="1">
      <c r="A1001" s="33" t="s">
        <v>74</v>
      </c>
      <c r="B1001" s="33" t="s">
        <v>122</v>
      </c>
      <c r="C1001" s="33" t="s">
        <v>529</v>
      </c>
      <c r="D1001" s="33" t="s">
        <v>20</v>
      </c>
      <c r="E1001" s="34">
        <v>1424.52</v>
      </c>
      <c r="F1001" s="33" t="s">
        <v>1461</v>
      </c>
    </row>
    <row r="1002" ht="15.75" customHeight="1">
      <c r="A1002" s="33" t="s">
        <v>74</v>
      </c>
      <c r="B1002" s="33" t="s">
        <v>300</v>
      </c>
      <c r="C1002" s="33" t="s">
        <v>300</v>
      </c>
      <c r="D1002" s="33" t="s">
        <v>14</v>
      </c>
      <c r="E1002" s="34">
        <v>189.0</v>
      </c>
      <c r="F1002" s="33" t="s">
        <v>1462</v>
      </c>
    </row>
    <row r="1003" ht="15.75" customHeight="1">
      <c r="A1003" s="33" t="s">
        <v>74</v>
      </c>
      <c r="B1003" s="33" t="s">
        <v>361</v>
      </c>
      <c r="C1003" s="33" t="s">
        <v>361</v>
      </c>
      <c r="D1003" s="33" t="s">
        <v>14</v>
      </c>
      <c r="E1003" s="34">
        <v>500.0</v>
      </c>
      <c r="F1003" s="33" t="s">
        <v>1463</v>
      </c>
    </row>
    <row r="1004" ht="15.75" customHeight="1">
      <c r="A1004" s="33" t="s">
        <v>74</v>
      </c>
      <c r="B1004" s="33" t="s">
        <v>110</v>
      </c>
      <c r="C1004" s="33" t="s">
        <v>110</v>
      </c>
      <c r="D1004" s="33" t="s">
        <v>36</v>
      </c>
      <c r="E1004" s="34">
        <v>4795.82</v>
      </c>
      <c r="F1004" s="33" t="s">
        <v>1464</v>
      </c>
    </row>
    <row r="1005" ht="15.75" customHeight="1">
      <c r="A1005" s="33" t="s">
        <v>74</v>
      </c>
      <c r="B1005" s="33" t="s">
        <v>102</v>
      </c>
      <c r="C1005" s="33" t="s">
        <v>615</v>
      </c>
      <c r="D1005" s="33" t="s">
        <v>14</v>
      </c>
      <c r="E1005" s="34">
        <v>11000.0</v>
      </c>
      <c r="F1005" s="33" t="s">
        <v>1465</v>
      </c>
    </row>
    <row r="1006" ht="15.75" customHeight="1">
      <c r="A1006" s="33" t="s">
        <v>74</v>
      </c>
      <c r="B1006" s="33" t="s">
        <v>497</v>
      </c>
      <c r="C1006" s="33" t="s">
        <v>497</v>
      </c>
      <c r="D1006" s="33" t="s">
        <v>14</v>
      </c>
      <c r="E1006" s="34">
        <v>35.0</v>
      </c>
      <c r="F1006" s="33" t="s">
        <v>950</v>
      </c>
    </row>
    <row r="1007" ht="15.75" customHeight="1">
      <c r="A1007" s="33" t="s">
        <v>74</v>
      </c>
      <c r="B1007" s="33" t="s">
        <v>123</v>
      </c>
      <c r="C1007" s="33" t="s">
        <v>123</v>
      </c>
      <c r="D1007" s="33" t="s">
        <v>20</v>
      </c>
      <c r="E1007" s="34">
        <v>2121.04</v>
      </c>
      <c r="F1007" s="33" t="s">
        <v>1466</v>
      </c>
    </row>
    <row r="1008" ht="15.75" customHeight="1">
      <c r="A1008" s="33" t="s">
        <v>74</v>
      </c>
      <c r="B1008" s="33" t="s">
        <v>230</v>
      </c>
      <c r="C1008" s="33" t="s">
        <v>1363</v>
      </c>
      <c r="D1008" s="33" t="s">
        <v>36</v>
      </c>
      <c r="E1008" s="34">
        <v>171.28</v>
      </c>
      <c r="F1008" s="33" t="s">
        <v>1364</v>
      </c>
    </row>
    <row r="1009" ht="15.75" customHeight="1">
      <c r="A1009" s="33" t="s">
        <v>74</v>
      </c>
      <c r="B1009" s="33" t="s">
        <v>113</v>
      </c>
      <c r="C1009" s="33" t="s">
        <v>540</v>
      </c>
      <c r="D1009" s="33" t="s">
        <v>14</v>
      </c>
      <c r="E1009" s="34">
        <v>275.74</v>
      </c>
      <c r="F1009" s="33" t="s">
        <v>1365</v>
      </c>
    </row>
    <row r="1010" ht="15.75" customHeight="1">
      <c r="A1010" s="33" t="s">
        <v>74</v>
      </c>
      <c r="B1010" s="33" t="s">
        <v>291</v>
      </c>
      <c r="C1010" s="33" t="s">
        <v>291</v>
      </c>
      <c r="D1010" s="33" t="s">
        <v>38</v>
      </c>
      <c r="E1010" s="34">
        <v>352.91</v>
      </c>
      <c r="F1010" s="33" t="s">
        <v>1467</v>
      </c>
    </row>
    <row r="1011" ht="15.75" customHeight="1">
      <c r="A1011" s="33" t="s">
        <v>74</v>
      </c>
      <c r="B1011" s="33" t="s">
        <v>214</v>
      </c>
      <c r="C1011" s="33" t="s">
        <v>214</v>
      </c>
      <c r="D1011" s="33" t="s">
        <v>14</v>
      </c>
      <c r="E1011" s="34">
        <v>438.0</v>
      </c>
      <c r="F1011" s="33" t="s">
        <v>624</v>
      </c>
    </row>
    <row r="1012" ht="15.75" customHeight="1">
      <c r="A1012" s="33" t="s">
        <v>74</v>
      </c>
      <c r="B1012" s="33" t="s">
        <v>127</v>
      </c>
      <c r="C1012" s="33" t="s">
        <v>127</v>
      </c>
      <c r="D1012" s="33" t="s">
        <v>36</v>
      </c>
      <c r="E1012" s="34">
        <v>40.26</v>
      </c>
      <c r="F1012" s="33" t="s">
        <v>1468</v>
      </c>
    </row>
    <row r="1013" ht="15.75" customHeight="1">
      <c r="A1013" s="33" t="s">
        <v>74</v>
      </c>
      <c r="B1013" s="33" t="s">
        <v>39</v>
      </c>
      <c r="C1013" s="33" t="s">
        <v>39</v>
      </c>
      <c r="D1013" s="33" t="s">
        <v>16</v>
      </c>
      <c r="E1013" s="34">
        <v>517.17</v>
      </c>
      <c r="F1013" s="33" t="s">
        <v>1469</v>
      </c>
    </row>
    <row r="1014" ht="15.75" customHeight="1">
      <c r="A1014" s="33" t="s">
        <v>74</v>
      </c>
      <c r="B1014" s="33" t="s">
        <v>39</v>
      </c>
      <c r="C1014" s="33" t="s">
        <v>39</v>
      </c>
      <c r="D1014" s="33" t="s">
        <v>16</v>
      </c>
      <c r="E1014" s="34">
        <v>2439.84</v>
      </c>
      <c r="F1014" s="33" t="s">
        <v>1470</v>
      </c>
    </row>
    <row r="1015" ht="15.75" customHeight="1">
      <c r="A1015" s="33" t="s">
        <v>74</v>
      </c>
      <c r="B1015" s="33" t="s">
        <v>21</v>
      </c>
      <c r="C1015" s="33" t="s">
        <v>21</v>
      </c>
      <c r="D1015" s="33" t="s">
        <v>16</v>
      </c>
      <c r="E1015" s="34">
        <v>98395.95</v>
      </c>
      <c r="F1015" s="33" t="s">
        <v>1471</v>
      </c>
    </row>
    <row r="1016" ht="15.75" customHeight="1">
      <c r="A1016" s="33" t="s">
        <v>74</v>
      </c>
      <c r="B1016" s="33" t="s">
        <v>329</v>
      </c>
      <c r="C1016" s="33" t="s">
        <v>329</v>
      </c>
      <c r="D1016" s="33" t="s">
        <v>14</v>
      </c>
      <c r="E1016" s="34">
        <v>133.0</v>
      </c>
      <c r="F1016" s="33" t="s">
        <v>648</v>
      </c>
    </row>
    <row r="1017" ht="15.75" customHeight="1">
      <c r="A1017" s="33" t="s">
        <v>74</v>
      </c>
      <c r="B1017" s="33" t="s">
        <v>31</v>
      </c>
      <c r="C1017" s="33" t="s">
        <v>31</v>
      </c>
      <c r="D1017" s="33" t="s">
        <v>26</v>
      </c>
      <c r="E1017" s="34">
        <v>138177.01</v>
      </c>
      <c r="F1017" s="33" t="s">
        <v>1472</v>
      </c>
    </row>
    <row r="1018" ht="15.75" customHeight="1">
      <c r="A1018" s="33" t="s">
        <v>74</v>
      </c>
      <c r="B1018" s="33" t="s">
        <v>351</v>
      </c>
      <c r="C1018" s="33" t="s">
        <v>351</v>
      </c>
      <c r="D1018" s="33" t="s">
        <v>38</v>
      </c>
      <c r="E1018" s="34">
        <v>62.31</v>
      </c>
      <c r="F1018" s="33" t="s">
        <v>1420</v>
      </c>
    </row>
    <row r="1019" ht="15.75" customHeight="1">
      <c r="A1019" s="33" t="s">
        <v>74</v>
      </c>
      <c r="B1019" s="33" t="s">
        <v>150</v>
      </c>
      <c r="C1019" s="33" t="s">
        <v>551</v>
      </c>
      <c r="D1019" s="33" t="s">
        <v>26</v>
      </c>
      <c r="E1019" s="34">
        <v>1664.0</v>
      </c>
      <c r="F1019" s="33" t="s">
        <v>1473</v>
      </c>
    </row>
    <row r="1020" ht="15.75" customHeight="1">
      <c r="A1020" s="33" t="s">
        <v>74</v>
      </c>
      <c r="B1020" s="33" t="s">
        <v>1053</v>
      </c>
      <c r="C1020" s="33" t="s">
        <v>117</v>
      </c>
      <c r="D1020" s="33" t="s">
        <v>14</v>
      </c>
      <c r="E1020" s="34">
        <v>112.73</v>
      </c>
      <c r="F1020" s="33" t="s">
        <v>1474</v>
      </c>
    </row>
    <row r="1021" ht="15.75" customHeight="1">
      <c r="A1021" s="33" t="s">
        <v>74</v>
      </c>
      <c r="B1021" s="33" t="s">
        <v>277</v>
      </c>
      <c r="C1021" s="33" t="s">
        <v>277</v>
      </c>
      <c r="D1021" s="33" t="s">
        <v>14</v>
      </c>
      <c r="E1021" s="34">
        <v>104.48</v>
      </c>
      <c r="F1021" s="33" t="s">
        <v>1475</v>
      </c>
    </row>
    <row r="1022" ht="15.75" customHeight="1">
      <c r="A1022" s="33" t="s">
        <v>74</v>
      </c>
      <c r="B1022" s="33" t="s">
        <v>218</v>
      </c>
      <c r="C1022" s="33" t="s">
        <v>553</v>
      </c>
      <c r="D1022" s="33" t="s">
        <v>40</v>
      </c>
      <c r="E1022" s="34">
        <v>344.25</v>
      </c>
      <c r="F1022" s="33" t="s">
        <v>1476</v>
      </c>
    </row>
    <row r="1023" ht="15.75" customHeight="1">
      <c r="A1023" s="33" t="s">
        <v>74</v>
      </c>
      <c r="B1023" s="33" t="s">
        <v>109</v>
      </c>
      <c r="C1023" s="33" t="s">
        <v>109</v>
      </c>
      <c r="D1023" s="33" t="s">
        <v>22</v>
      </c>
      <c r="E1023" s="34">
        <v>53830.13</v>
      </c>
      <c r="F1023" s="33" t="s">
        <v>1477</v>
      </c>
    </row>
    <row r="1024" ht="15.75" customHeight="1">
      <c r="A1024" s="33" t="s">
        <v>74</v>
      </c>
      <c r="B1024" s="33" t="s">
        <v>274</v>
      </c>
      <c r="C1024" s="33" t="s">
        <v>274</v>
      </c>
      <c r="D1024" s="33" t="s">
        <v>14</v>
      </c>
      <c r="E1024" s="34">
        <v>840.0</v>
      </c>
      <c r="F1024" s="33" t="s">
        <v>1478</v>
      </c>
    </row>
    <row r="1025" ht="15.75" customHeight="1">
      <c r="A1025" s="33" t="s">
        <v>74</v>
      </c>
      <c r="B1025" s="33" t="s">
        <v>173</v>
      </c>
      <c r="C1025" s="33" t="s">
        <v>1320</v>
      </c>
      <c r="D1025" s="33" t="s">
        <v>14</v>
      </c>
      <c r="E1025" s="34">
        <v>1802.0</v>
      </c>
      <c r="F1025" s="33" t="s">
        <v>1321</v>
      </c>
    </row>
    <row r="1026" ht="15.75" customHeight="1">
      <c r="A1026" s="33" t="s">
        <v>74</v>
      </c>
      <c r="B1026" s="33" t="s">
        <v>175</v>
      </c>
      <c r="C1026" s="33" t="s">
        <v>175</v>
      </c>
      <c r="D1026" s="33" t="s">
        <v>14</v>
      </c>
      <c r="E1026" s="34">
        <v>4500.0</v>
      </c>
      <c r="F1026" s="33" t="s">
        <v>1479</v>
      </c>
    </row>
    <row r="1027" ht="15.75" customHeight="1">
      <c r="A1027" s="33" t="s">
        <v>74</v>
      </c>
      <c r="B1027" s="33" t="s">
        <v>196</v>
      </c>
      <c r="C1027" s="33" t="s">
        <v>196</v>
      </c>
      <c r="D1027" s="33" t="s">
        <v>30</v>
      </c>
      <c r="E1027" s="34">
        <v>530.64</v>
      </c>
      <c r="F1027" s="33" t="s">
        <v>1480</v>
      </c>
    </row>
    <row r="1028" ht="15.75" customHeight="1">
      <c r="A1028" s="33" t="s">
        <v>74</v>
      </c>
      <c r="B1028" s="33" t="s">
        <v>281</v>
      </c>
      <c r="C1028" s="33" t="s">
        <v>1481</v>
      </c>
      <c r="D1028" s="33" t="s">
        <v>22</v>
      </c>
      <c r="E1028" s="34">
        <v>2800.0</v>
      </c>
      <c r="F1028" s="33" t="s">
        <v>1482</v>
      </c>
    </row>
    <row r="1029" ht="15.75" customHeight="1">
      <c r="A1029" s="33" t="s">
        <v>74</v>
      </c>
      <c r="B1029" s="33" t="s">
        <v>98</v>
      </c>
      <c r="C1029" s="33" t="s">
        <v>1483</v>
      </c>
      <c r="D1029" s="33" t="s">
        <v>26</v>
      </c>
      <c r="E1029" s="34">
        <v>34342.69</v>
      </c>
      <c r="F1029" s="33" t="s">
        <v>1484</v>
      </c>
    </row>
    <row r="1030" ht="15.75" customHeight="1">
      <c r="A1030" s="33" t="s">
        <v>74</v>
      </c>
      <c r="B1030" s="33" t="s">
        <v>96</v>
      </c>
      <c r="C1030" s="33" t="s">
        <v>925</v>
      </c>
      <c r="D1030" s="33" t="s">
        <v>20</v>
      </c>
      <c r="E1030" s="34">
        <v>7486.15</v>
      </c>
      <c r="F1030" s="33" t="s">
        <v>1485</v>
      </c>
    </row>
    <row r="1031" ht="15.75" customHeight="1">
      <c r="A1031" s="33" t="s">
        <v>74</v>
      </c>
      <c r="B1031" s="33" t="s">
        <v>145</v>
      </c>
      <c r="C1031" s="33" t="s">
        <v>564</v>
      </c>
      <c r="D1031" s="33" t="s">
        <v>14</v>
      </c>
      <c r="E1031" s="34">
        <v>650.12</v>
      </c>
      <c r="F1031" s="33" t="s">
        <v>1486</v>
      </c>
    </row>
    <row r="1032" ht="15.75" customHeight="1">
      <c r="A1032" s="33" t="s">
        <v>74</v>
      </c>
      <c r="B1032" s="33" t="s">
        <v>383</v>
      </c>
      <c r="C1032" s="33" t="s">
        <v>383</v>
      </c>
      <c r="D1032" s="33" t="s">
        <v>14</v>
      </c>
      <c r="E1032" s="34">
        <v>397.0</v>
      </c>
      <c r="F1032" s="33" t="s">
        <v>1487</v>
      </c>
    </row>
    <row r="1033" ht="15.75" customHeight="1">
      <c r="A1033" s="33" t="s">
        <v>74</v>
      </c>
      <c r="B1033" s="33" t="s">
        <v>290</v>
      </c>
      <c r="C1033" s="33" t="s">
        <v>568</v>
      </c>
      <c r="D1033" s="33" t="s">
        <v>14</v>
      </c>
      <c r="E1033" s="34">
        <v>348.0</v>
      </c>
      <c r="F1033" s="33" t="s">
        <v>569</v>
      </c>
    </row>
    <row r="1034" ht="15.75" customHeight="1">
      <c r="A1034" s="33" t="s">
        <v>74</v>
      </c>
      <c r="B1034" s="33" t="s">
        <v>389</v>
      </c>
      <c r="C1034" s="33" t="s">
        <v>1438</v>
      </c>
      <c r="D1034" s="33" t="s">
        <v>14</v>
      </c>
      <c r="E1034" s="34">
        <v>362.88</v>
      </c>
      <c r="F1034" s="33" t="s">
        <v>1488</v>
      </c>
    </row>
    <row r="1035" ht="15.75" customHeight="1">
      <c r="A1035" s="33" t="s">
        <v>74</v>
      </c>
      <c r="B1035" s="33" t="s">
        <v>93</v>
      </c>
      <c r="C1035" s="33" t="s">
        <v>93</v>
      </c>
      <c r="D1035" s="33" t="s">
        <v>16</v>
      </c>
      <c r="E1035" s="34">
        <v>17.0</v>
      </c>
      <c r="F1035" s="33" t="s">
        <v>1489</v>
      </c>
    </row>
    <row r="1036" ht="15.75" customHeight="1">
      <c r="A1036" s="33" t="s">
        <v>74</v>
      </c>
      <c r="B1036" s="33" t="s">
        <v>99</v>
      </c>
      <c r="C1036" s="33" t="s">
        <v>99</v>
      </c>
      <c r="D1036" s="33" t="s">
        <v>16</v>
      </c>
      <c r="E1036" s="34">
        <v>4575.0</v>
      </c>
      <c r="F1036" s="33" t="s">
        <v>1490</v>
      </c>
    </row>
    <row r="1037" ht="15.75" customHeight="1">
      <c r="A1037" s="33" t="s">
        <v>74</v>
      </c>
      <c r="B1037" s="33" t="s">
        <v>465</v>
      </c>
      <c r="C1037" s="33" t="s">
        <v>465</v>
      </c>
      <c r="D1037" s="33" t="s">
        <v>14</v>
      </c>
      <c r="E1037" s="34">
        <v>20.0</v>
      </c>
      <c r="F1037" s="33" t="s">
        <v>1491</v>
      </c>
    </row>
    <row r="1038" ht="15.75" customHeight="1">
      <c r="A1038" s="33" t="s">
        <v>74</v>
      </c>
      <c r="B1038" s="33" t="s">
        <v>410</v>
      </c>
      <c r="C1038" s="33" t="s">
        <v>577</v>
      </c>
      <c r="D1038" s="33" t="s">
        <v>14</v>
      </c>
      <c r="E1038" s="34">
        <v>57.98</v>
      </c>
      <c r="F1038" s="33" t="s">
        <v>578</v>
      </c>
    </row>
    <row r="1039" ht="15.75" customHeight="1">
      <c r="A1039" s="33" t="s">
        <v>74</v>
      </c>
      <c r="B1039" s="33" t="s">
        <v>263</v>
      </c>
      <c r="C1039" s="33" t="s">
        <v>263</v>
      </c>
      <c r="D1039" s="33" t="s">
        <v>14</v>
      </c>
      <c r="E1039" s="34">
        <v>3839.9</v>
      </c>
      <c r="F1039" s="33" t="s">
        <v>1492</v>
      </c>
    </row>
    <row r="1040" ht="15.75" customHeight="1">
      <c r="A1040" s="33" t="s">
        <v>74</v>
      </c>
      <c r="B1040" s="33" t="s">
        <v>384</v>
      </c>
      <c r="C1040" s="33" t="s">
        <v>640</v>
      </c>
      <c r="D1040" s="33" t="s">
        <v>14</v>
      </c>
      <c r="E1040" s="34">
        <v>103.0</v>
      </c>
      <c r="F1040" s="33" t="s">
        <v>1493</v>
      </c>
    </row>
    <row r="1041" ht="15.75" customHeight="1">
      <c r="A1041" s="33" t="s">
        <v>74</v>
      </c>
      <c r="B1041" s="33" t="s">
        <v>208</v>
      </c>
      <c r="C1041" s="33" t="s">
        <v>208</v>
      </c>
      <c r="D1041" s="33" t="s">
        <v>14</v>
      </c>
      <c r="E1041" s="34">
        <v>768.0</v>
      </c>
      <c r="F1041" s="33" t="s">
        <v>1494</v>
      </c>
    </row>
    <row r="1042" ht="15.75" customHeight="1">
      <c r="A1042" s="33" t="s">
        <v>74</v>
      </c>
      <c r="B1042" s="33" t="s">
        <v>235</v>
      </c>
      <c r="C1042" s="33" t="s">
        <v>842</v>
      </c>
      <c r="D1042" s="33" t="s">
        <v>30</v>
      </c>
      <c r="E1042" s="34">
        <v>1187.88</v>
      </c>
      <c r="F1042" s="33" t="s">
        <v>851</v>
      </c>
    </row>
    <row r="1043" ht="15.75" customHeight="1">
      <c r="A1043" s="33" t="s">
        <v>74</v>
      </c>
      <c r="B1043" s="33" t="s">
        <v>251</v>
      </c>
      <c r="C1043" s="33" t="s">
        <v>251</v>
      </c>
      <c r="D1043" s="33" t="s">
        <v>14</v>
      </c>
      <c r="E1043" s="34">
        <v>253.3</v>
      </c>
      <c r="F1043" s="33" t="s">
        <v>1495</v>
      </c>
    </row>
    <row r="1044" ht="15.75" customHeight="1">
      <c r="A1044" s="33" t="s">
        <v>74</v>
      </c>
      <c r="B1044" s="33" t="s">
        <v>144</v>
      </c>
      <c r="C1044" s="33" t="s">
        <v>144</v>
      </c>
      <c r="D1044" s="33" t="s">
        <v>18</v>
      </c>
      <c r="E1044" s="34">
        <v>2273.72</v>
      </c>
      <c r="F1044" s="33" t="s">
        <v>1496</v>
      </c>
    </row>
    <row r="1045" ht="15.75" customHeight="1">
      <c r="A1045" s="33" t="s">
        <v>74</v>
      </c>
      <c r="B1045" s="33" t="s">
        <v>498</v>
      </c>
      <c r="C1045" s="33" t="s">
        <v>498</v>
      </c>
      <c r="D1045" s="33" t="s">
        <v>14</v>
      </c>
      <c r="E1045" s="34">
        <v>35.0</v>
      </c>
      <c r="F1045" s="33" t="s">
        <v>1497</v>
      </c>
    </row>
    <row r="1046" ht="15.75" customHeight="1">
      <c r="A1046" s="33" t="s">
        <v>74</v>
      </c>
      <c r="B1046" s="33" t="s">
        <v>239</v>
      </c>
      <c r="C1046" s="33" t="s">
        <v>814</v>
      </c>
      <c r="D1046" s="33" t="s">
        <v>18</v>
      </c>
      <c r="E1046" s="34">
        <v>134.52</v>
      </c>
      <c r="F1046" s="33" t="s">
        <v>1498</v>
      </c>
    </row>
    <row r="1047" ht="15.75" customHeight="1">
      <c r="A1047" s="33" t="s">
        <v>74</v>
      </c>
      <c r="B1047" s="33" t="s">
        <v>162</v>
      </c>
      <c r="C1047" s="33" t="s">
        <v>585</v>
      </c>
      <c r="D1047" s="33" t="s">
        <v>14</v>
      </c>
      <c r="E1047" s="34">
        <v>1759.26</v>
      </c>
      <c r="F1047" s="33" t="s">
        <v>1499</v>
      </c>
    </row>
    <row r="1048" ht="15.75" customHeight="1">
      <c r="A1048" s="33" t="s">
        <v>74</v>
      </c>
      <c r="B1048" s="33" t="s">
        <v>219</v>
      </c>
      <c r="C1048" s="33" t="s">
        <v>219</v>
      </c>
      <c r="D1048" s="33" t="s">
        <v>14</v>
      </c>
      <c r="E1048" s="34">
        <v>254.94</v>
      </c>
      <c r="F1048" s="33" t="s">
        <v>1500</v>
      </c>
    </row>
    <row r="1049" ht="15.75" customHeight="1">
      <c r="A1049" s="33" t="s">
        <v>74</v>
      </c>
      <c r="B1049" s="33" t="s">
        <v>387</v>
      </c>
      <c r="C1049" s="33" t="s">
        <v>1501</v>
      </c>
      <c r="D1049" s="33" t="s">
        <v>14</v>
      </c>
      <c r="E1049" s="34">
        <v>626.0</v>
      </c>
      <c r="F1049" s="33" t="s">
        <v>1502</v>
      </c>
    </row>
    <row r="1050" ht="15.75" customHeight="1">
      <c r="A1050" s="33" t="s">
        <v>74</v>
      </c>
      <c r="B1050" s="33" t="s">
        <v>499</v>
      </c>
      <c r="C1050" s="33" t="s">
        <v>499</v>
      </c>
      <c r="D1050" s="33" t="s">
        <v>14</v>
      </c>
      <c r="E1050" s="34">
        <v>35.0</v>
      </c>
      <c r="F1050" s="33" t="s">
        <v>950</v>
      </c>
    </row>
    <row r="1051" ht="15.75" customHeight="1">
      <c r="A1051" s="33" t="s">
        <v>74</v>
      </c>
      <c r="B1051" s="33" t="s">
        <v>125</v>
      </c>
      <c r="C1051" s="33" t="s">
        <v>587</v>
      </c>
      <c r="D1051" s="33" t="s">
        <v>20</v>
      </c>
      <c r="E1051" s="34">
        <v>2136.0</v>
      </c>
      <c r="F1051" s="33" t="s">
        <v>1503</v>
      </c>
    </row>
    <row r="1052" ht="15.75" customHeight="1">
      <c r="A1052" s="33" t="s">
        <v>74</v>
      </c>
      <c r="B1052" s="33" t="s">
        <v>367</v>
      </c>
      <c r="C1052" s="33" t="s">
        <v>367</v>
      </c>
      <c r="D1052" s="33" t="s">
        <v>14</v>
      </c>
      <c r="E1052" s="34">
        <v>30.0</v>
      </c>
      <c r="F1052" s="33" t="s">
        <v>1504</v>
      </c>
    </row>
    <row r="1053" ht="15.75" customHeight="1">
      <c r="A1053" s="33" t="s">
        <v>74</v>
      </c>
      <c r="B1053" s="33" t="s">
        <v>130</v>
      </c>
      <c r="C1053" s="33" t="s">
        <v>657</v>
      </c>
      <c r="D1053" s="33" t="s">
        <v>14</v>
      </c>
      <c r="E1053" s="34">
        <v>6131.04</v>
      </c>
      <c r="F1053" s="33" t="s">
        <v>1505</v>
      </c>
    </row>
    <row r="1054" ht="15.75" customHeight="1">
      <c r="A1054" s="33" t="s">
        <v>74</v>
      </c>
      <c r="B1054" s="33" t="s">
        <v>103</v>
      </c>
      <c r="C1054" s="33" t="s">
        <v>103</v>
      </c>
      <c r="D1054" s="33" t="s">
        <v>30</v>
      </c>
      <c r="E1054" s="34">
        <v>1679.55</v>
      </c>
      <c r="F1054" s="33" t="s">
        <v>1506</v>
      </c>
    </row>
    <row r="1055" ht="15.75" customHeight="1">
      <c r="A1055" s="33" t="s">
        <v>74</v>
      </c>
      <c r="B1055" s="33" t="s">
        <v>43</v>
      </c>
      <c r="C1055" s="33" t="s">
        <v>43</v>
      </c>
      <c r="D1055" s="33" t="s">
        <v>18</v>
      </c>
      <c r="E1055" s="34">
        <v>1102.2</v>
      </c>
      <c r="F1055" s="33" t="s">
        <v>1507</v>
      </c>
    </row>
    <row r="1056" ht="15.75" customHeight="1">
      <c r="A1056" s="33" t="s">
        <v>74</v>
      </c>
      <c r="B1056" s="33" t="s">
        <v>284</v>
      </c>
      <c r="C1056" s="33" t="s">
        <v>590</v>
      </c>
      <c r="D1056" s="33" t="s">
        <v>14</v>
      </c>
      <c r="E1056" s="34">
        <v>608.0</v>
      </c>
      <c r="F1056" s="33" t="s">
        <v>1508</v>
      </c>
    </row>
    <row r="1057" ht="15.75" customHeight="1">
      <c r="A1057" s="33" t="s">
        <v>74</v>
      </c>
      <c r="B1057" s="33" t="s">
        <v>229</v>
      </c>
      <c r="C1057" s="33" t="s">
        <v>592</v>
      </c>
      <c r="D1057" s="33" t="s">
        <v>14</v>
      </c>
      <c r="E1057" s="34">
        <v>1000.0</v>
      </c>
      <c r="F1057" s="33" t="s">
        <v>1337</v>
      </c>
    </row>
    <row r="1058" ht="15.75" customHeight="1">
      <c r="A1058" s="33" t="s">
        <v>74</v>
      </c>
      <c r="B1058" s="33" t="s">
        <v>161</v>
      </c>
      <c r="C1058" s="33" t="s">
        <v>596</v>
      </c>
      <c r="D1058" s="33" t="s">
        <v>38</v>
      </c>
      <c r="E1058" s="34">
        <v>276.32</v>
      </c>
      <c r="F1058" s="33" t="s">
        <v>1339</v>
      </c>
    </row>
    <row r="1059" ht="15.75" customHeight="1">
      <c r="A1059" s="33" t="s">
        <v>74</v>
      </c>
      <c r="B1059" s="33" t="s">
        <v>338</v>
      </c>
      <c r="C1059" s="33" t="s">
        <v>338</v>
      </c>
      <c r="D1059" s="33" t="s">
        <v>16</v>
      </c>
      <c r="E1059" s="34">
        <v>50.0</v>
      </c>
      <c r="F1059" s="33" t="s">
        <v>720</v>
      </c>
    </row>
    <row r="1060" ht="15.75" customHeight="1">
      <c r="A1060" s="33" t="s">
        <v>74</v>
      </c>
      <c r="B1060" s="33" t="s">
        <v>246</v>
      </c>
      <c r="C1060" s="33" t="s">
        <v>246</v>
      </c>
      <c r="D1060" s="33" t="s">
        <v>42</v>
      </c>
      <c r="E1060" s="34">
        <v>160.0</v>
      </c>
      <c r="F1060" s="33" t="s">
        <v>1509</v>
      </c>
    </row>
    <row r="1061" ht="15.75" customHeight="1">
      <c r="A1061" s="33" t="s">
        <v>74</v>
      </c>
      <c r="B1061" s="33" t="s">
        <v>414</v>
      </c>
      <c r="C1061" s="33" t="s">
        <v>1510</v>
      </c>
      <c r="D1061" s="33" t="s">
        <v>14</v>
      </c>
      <c r="E1061" s="34">
        <v>448.21</v>
      </c>
      <c r="F1061" s="33" t="s">
        <v>1511</v>
      </c>
    </row>
    <row r="1062" ht="15.75" customHeight="1">
      <c r="A1062" s="33" t="s">
        <v>74</v>
      </c>
      <c r="B1062" s="33" t="s">
        <v>119</v>
      </c>
      <c r="C1062" s="33" t="s">
        <v>119</v>
      </c>
      <c r="D1062" s="33" t="s">
        <v>14</v>
      </c>
      <c r="E1062" s="34">
        <v>13521.67</v>
      </c>
      <c r="F1062" s="33" t="s">
        <v>1400</v>
      </c>
    </row>
    <row r="1063" ht="15.75" customHeight="1">
      <c r="A1063" s="33" t="s">
        <v>74</v>
      </c>
      <c r="B1063" s="33" t="s">
        <v>33</v>
      </c>
      <c r="C1063" s="33" t="s">
        <v>785</v>
      </c>
      <c r="D1063" s="33" t="s">
        <v>22</v>
      </c>
      <c r="E1063" s="34">
        <v>41308.92</v>
      </c>
      <c r="F1063" s="33" t="s">
        <v>1512</v>
      </c>
    </row>
    <row r="1064" ht="15.75" customHeight="1">
      <c r="A1064" s="33" t="s">
        <v>75</v>
      </c>
      <c r="B1064" s="33" t="s">
        <v>152</v>
      </c>
      <c r="C1064" s="33" t="s">
        <v>152</v>
      </c>
      <c r="D1064" s="33" t="s">
        <v>18</v>
      </c>
      <c r="E1064" s="34">
        <v>2022.5</v>
      </c>
      <c r="F1064" s="33" t="s">
        <v>1513</v>
      </c>
    </row>
    <row r="1065" ht="15.75" customHeight="1">
      <c r="A1065" s="33" t="s">
        <v>75</v>
      </c>
      <c r="B1065" s="33" t="s">
        <v>153</v>
      </c>
      <c r="C1065" s="33" t="s">
        <v>153</v>
      </c>
      <c r="D1065" s="33" t="s">
        <v>14</v>
      </c>
      <c r="E1065" s="34">
        <v>2022.5</v>
      </c>
      <c r="F1065" s="33" t="s">
        <v>1514</v>
      </c>
    </row>
    <row r="1066" ht="15.75" customHeight="1">
      <c r="A1066" s="33" t="s">
        <v>75</v>
      </c>
      <c r="B1066" s="33" t="s">
        <v>341</v>
      </c>
      <c r="C1066" s="33" t="s">
        <v>341</v>
      </c>
      <c r="D1066" s="33" t="s">
        <v>40</v>
      </c>
      <c r="E1066" s="34">
        <v>1191.26</v>
      </c>
      <c r="F1066" s="33" t="s">
        <v>1515</v>
      </c>
    </row>
    <row r="1067" ht="15.75" customHeight="1">
      <c r="A1067" s="33" t="s">
        <v>75</v>
      </c>
      <c r="B1067" s="33" t="s">
        <v>344</v>
      </c>
      <c r="C1067" s="33" t="s">
        <v>344</v>
      </c>
      <c r="D1067" s="33" t="s">
        <v>14</v>
      </c>
      <c r="E1067" s="34">
        <v>276.78</v>
      </c>
      <c r="F1067" s="33" t="s">
        <v>1516</v>
      </c>
    </row>
    <row r="1068" ht="15.75" customHeight="1">
      <c r="A1068" s="33" t="s">
        <v>75</v>
      </c>
      <c r="B1068" s="33" t="s">
        <v>461</v>
      </c>
      <c r="C1068" s="33" t="s">
        <v>461</v>
      </c>
      <c r="D1068" s="33" t="s">
        <v>14</v>
      </c>
      <c r="E1068" s="34">
        <v>155.49</v>
      </c>
      <c r="F1068" s="33" t="s">
        <v>1517</v>
      </c>
    </row>
    <row r="1069" ht="15.75" customHeight="1">
      <c r="A1069" s="33" t="s">
        <v>75</v>
      </c>
      <c r="B1069" s="33" t="s">
        <v>222</v>
      </c>
      <c r="C1069" s="33" t="s">
        <v>664</v>
      </c>
      <c r="D1069" s="33" t="s">
        <v>38</v>
      </c>
      <c r="E1069" s="34">
        <v>264.4</v>
      </c>
      <c r="F1069" s="33" t="s">
        <v>1404</v>
      </c>
    </row>
    <row r="1070" ht="15.75" customHeight="1">
      <c r="A1070" s="33" t="s">
        <v>75</v>
      </c>
      <c r="B1070" s="33" t="s">
        <v>220</v>
      </c>
      <c r="C1070" s="33" t="s">
        <v>220</v>
      </c>
      <c r="D1070" s="33" t="s">
        <v>18</v>
      </c>
      <c r="E1070" s="34">
        <v>109.23</v>
      </c>
      <c r="F1070" s="33" t="s">
        <v>1301</v>
      </c>
    </row>
    <row r="1071" ht="15.75" customHeight="1">
      <c r="A1071" s="33" t="s">
        <v>75</v>
      </c>
      <c r="B1071" s="33" t="s">
        <v>1518</v>
      </c>
      <c r="C1071" s="33" t="s">
        <v>529</v>
      </c>
      <c r="D1071" s="33" t="s">
        <v>20</v>
      </c>
      <c r="E1071" s="34">
        <v>566.57</v>
      </c>
      <c r="F1071" s="33" t="s">
        <v>1519</v>
      </c>
    </row>
    <row r="1072" ht="15.75" customHeight="1">
      <c r="A1072" s="33" t="s">
        <v>75</v>
      </c>
      <c r="B1072" s="33" t="s">
        <v>216</v>
      </c>
      <c r="C1072" s="33" t="s">
        <v>216</v>
      </c>
      <c r="D1072" s="33" t="s">
        <v>14</v>
      </c>
      <c r="E1072" s="34">
        <v>2954.78</v>
      </c>
      <c r="F1072" s="33" t="s">
        <v>1520</v>
      </c>
    </row>
    <row r="1073" ht="15.75" customHeight="1">
      <c r="A1073" s="33" t="s">
        <v>75</v>
      </c>
      <c r="B1073" s="33" t="s">
        <v>278</v>
      </c>
      <c r="C1073" s="33" t="s">
        <v>846</v>
      </c>
      <c r="D1073" s="33" t="s">
        <v>14</v>
      </c>
      <c r="E1073" s="34">
        <v>875.0</v>
      </c>
      <c r="F1073" s="33" t="s">
        <v>1521</v>
      </c>
    </row>
    <row r="1074" ht="15.75" customHeight="1">
      <c r="A1074" s="33" t="s">
        <v>75</v>
      </c>
      <c r="B1074" s="33" t="s">
        <v>500</v>
      </c>
      <c r="C1074" s="33" t="s">
        <v>500</v>
      </c>
      <c r="D1074" s="33" t="s">
        <v>14</v>
      </c>
      <c r="E1074" s="34">
        <v>35.0</v>
      </c>
      <c r="F1074" s="33" t="s">
        <v>950</v>
      </c>
    </row>
    <row r="1075" ht="15.75" customHeight="1">
      <c r="A1075" s="33" t="s">
        <v>75</v>
      </c>
      <c r="B1075" s="33" t="s">
        <v>123</v>
      </c>
      <c r="C1075" s="33" t="s">
        <v>123</v>
      </c>
      <c r="D1075" s="33" t="s">
        <v>20</v>
      </c>
      <c r="E1075" s="34">
        <v>510.0</v>
      </c>
      <c r="F1075" s="33" t="s">
        <v>1522</v>
      </c>
    </row>
    <row r="1076" ht="15.75" customHeight="1">
      <c r="A1076" s="33" t="s">
        <v>75</v>
      </c>
      <c r="B1076" s="33" t="s">
        <v>230</v>
      </c>
      <c r="C1076" s="33" t="s">
        <v>1363</v>
      </c>
      <c r="D1076" s="33" t="s">
        <v>36</v>
      </c>
      <c r="E1076" s="34">
        <v>1397.32</v>
      </c>
      <c r="F1076" s="33" t="s">
        <v>1523</v>
      </c>
    </row>
    <row r="1077" ht="15.75" customHeight="1">
      <c r="A1077" s="33" t="s">
        <v>75</v>
      </c>
      <c r="B1077" s="33" t="s">
        <v>477</v>
      </c>
      <c r="C1077" s="33" t="s">
        <v>477</v>
      </c>
      <c r="D1077" s="33" t="s">
        <v>14</v>
      </c>
      <c r="E1077" s="34">
        <v>15.0</v>
      </c>
      <c r="F1077" s="33" t="s">
        <v>1524</v>
      </c>
    </row>
    <row r="1078" ht="15.75" customHeight="1">
      <c r="A1078" s="33" t="s">
        <v>75</v>
      </c>
      <c r="B1078" s="33" t="s">
        <v>127</v>
      </c>
      <c r="C1078" s="33" t="s">
        <v>127</v>
      </c>
      <c r="D1078" s="33" t="s">
        <v>36</v>
      </c>
      <c r="E1078" s="34">
        <v>2353.23</v>
      </c>
      <c r="F1078" s="33" t="s">
        <v>1525</v>
      </c>
    </row>
    <row r="1079" ht="15.75" customHeight="1">
      <c r="A1079" s="33" t="s">
        <v>75</v>
      </c>
      <c r="B1079" s="33" t="s">
        <v>351</v>
      </c>
      <c r="C1079" s="33" t="s">
        <v>351</v>
      </c>
      <c r="D1079" s="33" t="s">
        <v>38</v>
      </c>
      <c r="E1079" s="34">
        <v>36.54</v>
      </c>
      <c r="F1079" s="33" t="s">
        <v>738</v>
      </c>
    </row>
    <row r="1080" ht="15.75" customHeight="1">
      <c r="A1080" s="33" t="s">
        <v>75</v>
      </c>
      <c r="B1080" s="33" t="s">
        <v>1526</v>
      </c>
      <c r="C1080" s="33" t="s">
        <v>551</v>
      </c>
      <c r="D1080" s="33" t="s">
        <v>26</v>
      </c>
      <c r="E1080" s="34">
        <v>321.0</v>
      </c>
      <c r="F1080" s="33" t="s">
        <v>1527</v>
      </c>
    </row>
    <row r="1081" ht="15.75" customHeight="1">
      <c r="A1081" s="33" t="s">
        <v>75</v>
      </c>
      <c r="B1081" s="33" t="s">
        <v>277</v>
      </c>
      <c r="C1081" s="33" t="s">
        <v>277</v>
      </c>
      <c r="D1081" s="33" t="s">
        <v>14</v>
      </c>
      <c r="E1081" s="34">
        <v>234.0</v>
      </c>
      <c r="F1081" s="33" t="s">
        <v>1528</v>
      </c>
    </row>
    <row r="1082" ht="15.75" customHeight="1">
      <c r="A1082" s="33" t="s">
        <v>75</v>
      </c>
      <c r="B1082" s="33" t="s">
        <v>218</v>
      </c>
      <c r="C1082" s="33" t="s">
        <v>553</v>
      </c>
      <c r="D1082" s="33" t="s">
        <v>40</v>
      </c>
      <c r="E1082" s="34">
        <v>381.0</v>
      </c>
      <c r="F1082" s="33" t="s">
        <v>1529</v>
      </c>
    </row>
    <row r="1083" ht="15.75" customHeight="1">
      <c r="A1083" s="33" t="s">
        <v>75</v>
      </c>
      <c r="B1083" s="33" t="s">
        <v>1530</v>
      </c>
      <c r="C1083" s="33" t="s">
        <v>1056</v>
      </c>
      <c r="D1083" s="33" t="s">
        <v>18</v>
      </c>
      <c r="E1083" s="34">
        <v>443.45</v>
      </c>
      <c r="F1083" s="33" t="s">
        <v>1531</v>
      </c>
    </row>
    <row r="1084" ht="15.75" customHeight="1">
      <c r="A1084" s="33" t="s">
        <v>75</v>
      </c>
      <c r="B1084" s="33" t="s">
        <v>173</v>
      </c>
      <c r="C1084" s="33" t="s">
        <v>1320</v>
      </c>
      <c r="D1084" s="33" t="s">
        <v>14</v>
      </c>
      <c r="E1084" s="34">
        <v>3604.0</v>
      </c>
      <c r="F1084" s="33" t="s">
        <v>1321</v>
      </c>
    </row>
    <row r="1085" ht="15.75" customHeight="1">
      <c r="A1085" s="33" t="s">
        <v>75</v>
      </c>
      <c r="B1085" s="33" t="s">
        <v>196</v>
      </c>
      <c r="C1085" s="33" t="s">
        <v>196</v>
      </c>
      <c r="D1085" s="33" t="s">
        <v>30</v>
      </c>
      <c r="E1085" s="34">
        <v>183.95</v>
      </c>
      <c r="F1085" s="33" t="s">
        <v>1532</v>
      </c>
    </row>
    <row r="1086" ht="15.75" customHeight="1">
      <c r="A1086" s="33" t="s">
        <v>75</v>
      </c>
      <c r="B1086" s="33" t="s">
        <v>35</v>
      </c>
      <c r="C1086" s="33" t="s">
        <v>35</v>
      </c>
      <c r="D1086" s="33" t="s">
        <v>22</v>
      </c>
      <c r="E1086" s="34">
        <v>24096.87</v>
      </c>
      <c r="F1086" s="33" t="s">
        <v>1377</v>
      </c>
    </row>
    <row r="1087" ht="15.75" customHeight="1">
      <c r="A1087" s="33" t="s">
        <v>75</v>
      </c>
      <c r="B1087" s="33" t="s">
        <v>145</v>
      </c>
      <c r="C1087" s="33" t="s">
        <v>564</v>
      </c>
      <c r="D1087" s="33" t="s">
        <v>14</v>
      </c>
      <c r="E1087" s="34">
        <v>600.0</v>
      </c>
      <c r="F1087" s="33" t="s">
        <v>1533</v>
      </c>
    </row>
    <row r="1088" ht="15.75" customHeight="1">
      <c r="A1088" s="33" t="s">
        <v>75</v>
      </c>
      <c r="B1088" s="33" t="s">
        <v>290</v>
      </c>
      <c r="C1088" s="33" t="s">
        <v>568</v>
      </c>
      <c r="D1088" s="33" t="s">
        <v>14</v>
      </c>
      <c r="E1088" s="34">
        <v>93.0</v>
      </c>
      <c r="F1088" s="33" t="s">
        <v>1383</v>
      </c>
    </row>
    <row r="1089" ht="15.75" customHeight="1">
      <c r="A1089" s="33" t="s">
        <v>75</v>
      </c>
      <c r="B1089" s="33" t="s">
        <v>443</v>
      </c>
      <c r="C1089" s="33" t="s">
        <v>443</v>
      </c>
      <c r="D1089" s="33" t="s">
        <v>14</v>
      </c>
      <c r="E1089" s="34">
        <v>36.4</v>
      </c>
      <c r="F1089" s="33" t="s">
        <v>1534</v>
      </c>
    </row>
    <row r="1090" ht="15.75" customHeight="1">
      <c r="A1090" s="33" t="s">
        <v>75</v>
      </c>
      <c r="B1090" s="33" t="s">
        <v>501</v>
      </c>
      <c r="C1090" s="33" t="s">
        <v>501</v>
      </c>
      <c r="D1090" s="33" t="s">
        <v>14</v>
      </c>
      <c r="E1090" s="34">
        <v>35.0</v>
      </c>
      <c r="F1090" s="33" t="s">
        <v>950</v>
      </c>
    </row>
    <row r="1091" ht="15.75" customHeight="1">
      <c r="A1091" s="33" t="s">
        <v>75</v>
      </c>
      <c r="B1091" s="33" t="s">
        <v>314</v>
      </c>
      <c r="C1091" s="33" t="s">
        <v>314</v>
      </c>
      <c r="D1091" s="33" t="s">
        <v>14</v>
      </c>
      <c r="E1091" s="34">
        <v>150.0</v>
      </c>
      <c r="F1091" s="33" t="s">
        <v>1535</v>
      </c>
    </row>
    <row r="1092" ht="15.75" customHeight="1">
      <c r="A1092" s="33" t="s">
        <v>75</v>
      </c>
      <c r="B1092" s="33" t="s">
        <v>191</v>
      </c>
      <c r="C1092" s="33" t="s">
        <v>191</v>
      </c>
      <c r="D1092" s="33" t="s">
        <v>14</v>
      </c>
      <c r="E1092" s="34">
        <v>1070.0</v>
      </c>
      <c r="F1092" s="33" t="s">
        <v>933</v>
      </c>
    </row>
    <row r="1093" ht="15.75" customHeight="1">
      <c r="A1093" s="33" t="s">
        <v>75</v>
      </c>
      <c r="B1093" s="33" t="s">
        <v>186</v>
      </c>
      <c r="C1093" s="33" t="s">
        <v>186</v>
      </c>
      <c r="D1093" s="33" t="s">
        <v>18</v>
      </c>
      <c r="E1093" s="34">
        <v>515.18</v>
      </c>
      <c r="F1093" s="33" t="s">
        <v>1536</v>
      </c>
    </row>
    <row r="1094" ht="15.75" customHeight="1">
      <c r="A1094" s="33" t="s">
        <v>75</v>
      </c>
      <c r="B1094" s="33" t="s">
        <v>99</v>
      </c>
      <c r="C1094" s="33" t="s">
        <v>99</v>
      </c>
      <c r="D1094" s="33" t="s">
        <v>16</v>
      </c>
      <c r="E1094" s="34">
        <v>4675.0</v>
      </c>
      <c r="F1094" s="33" t="s">
        <v>1061</v>
      </c>
    </row>
    <row r="1095" ht="15.75" customHeight="1">
      <c r="A1095" s="33" t="s">
        <v>75</v>
      </c>
      <c r="B1095" s="33" t="s">
        <v>400</v>
      </c>
      <c r="C1095" s="33" t="s">
        <v>400</v>
      </c>
      <c r="D1095" s="33" t="s">
        <v>14</v>
      </c>
      <c r="E1095" s="34">
        <v>125.0</v>
      </c>
      <c r="F1095" s="33" t="s">
        <v>1537</v>
      </c>
    </row>
    <row r="1096" ht="15.75" customHeight="1">
      <c r="A1096" s="33" t="s">
        <v>75</v>
      </c>
      <c r="B1096" s="33" t="s">
        <v>144</v>
      </c>
      <c r="C1096" s="33" t="s">
        <v>144</v>
      </c>
      <c r="D1096" s="33" t="s">
        <v>18</v>
      </c>
      <c r="E1096" s="34">
        <v>336.06</v>
      </c>
      <c r="F1096" s="33" t="s">
        <v>1538</v>
      </c>
    </row>
    <row r="1097" ht="15.75" customHeight="1">
      <c r="A1097" s="33" t="s">
        <v>75</v>
      </c>
      <c r="B1097" s="33" t="s">
        <v>190</v>
      </c>
      <c r="C1097" s="33" t="s">
        <v>190</v>
      </c>
      <c r="D1097" s="33" t="s">
        <v>40</v>
      </c>
      <c r="E1097" s="34">
        <v>1451.23</v>
      </c>
      <c r="F1097" s="33" t="s">
        <v>1539</v>
      </c>
    </row>
    <row r="1098" ht="15.75" customHeight="1">
      <c r="A1098" s="33" t="s">
        <v>75</v>
      </c>
      <c r="B1098" s="33" t="s">
        <v>125</v>
      </c>
      <c r="C1098" s="33" t="s">
        <v>587</v>
      </c>
      <c r="D1098" s="33" t="s">
        <v>20</v>
      </c>
      <c r="E1098" s="34">
        <v>1620.0</v>
      </c>
      <c r="F1098" s="33" t="s">
        <v>1540</v>
      </c>
    </row>
    <row r="1099" ht="15.75" customHeight="1">
      <c r="A1099" s="33" t="s">
        <v>75</v>
      </c>
      <c r="B1099" s="33" t="s">
        <v>229</v>
      </c>
      <c r="C1099" s="33" t="s">
        <v>592</v>
      </c>
      <c r="D1099" s="33" t="s">
        <v>14</v>
      </c>
      <c r="E1099" s="34">
        <v>1250.0</v>
      </c>
      <c r="F1099" s="33" t="s">
        <v>1337</v>
      </c>
    </row>
    <row r="1100" ht="15.75" customHeight="1">
      <c r="A1100" s="33" t="s">
        <v>75</v>
      </c>
      <c r="B1100" s="33" t="s">
        <v>29</v>
      </c>
      <c r="C1100" s="33" t="s">
        <v>29</v>
      </c>
      <c r="D1100" s="33" t="s">
        <v>28</v>
      </c>
      <c r="E1100" s="34">
        <v>30086.44</v>
      </c>
      <c r="F1100" s="33" t="s">
        <v>1541</v>
      </c>
    </row>
    <row r="1101" ht="15.75" customHeight="1">
      <c r="A1101" s="33" t="s">
        <v>75</v>
      </c>
      <c r="B1101" s="33" t="s">
        <v>161</v>
      </c>
      <c r="C1101" s="33" t="s">
        <v>596</v>
      </c>
      <c r="D1101" s="33" t="s">
        <v>38</v>
      </c>
      <c r="E1101" s="34">
        <v>2017.05</v>
      </c>
      <c r="F1101" s="33" t="s">
        <v>1542</v>
      </c>
    </row>
    <row r="1102" ht="15.75" customHeight="1">
      <c r="A1102" s="33" t="s">
        <v>75</v>
      </c>
      <c r="B1102" s="33" t="s">
        <v>179</v>
      </c>
      <c r="C1102" s="33" t="s">
        <v>716</v>
      </c>
      <c r="D1102" s="33" t="s">
        <v>14</v>
      </c>
      <c r="E1102" s="34">
        <v>3190.17</v>
      </c>
      <c r="F1102" s="33" t="s">
        <v>1452</v>
      </c>
    </row>
    <row r="1103" ht="15.75" customHeight="1">
      <c r="A1103" s="33" t="s">
        <v>75</v>
      </c>
      <c r="B1103" s="33" t="s">
        <v>338</v>
      </c>
      <c r="C1103" s="33" t="s">
        <v>338</v>
      </c>
      <c r="D1103" s="33" t="s">
        <v>16</v>
      </c>
      <c r="E1103" s="34">
        <v>50.0</v>
      </c>
      <c r="F1103" s="33" t="s">
        <v>720</v>
      </c>
    </row>
    <row r="1104" ht="15.75" customHeight="1">
      <c r="A1104" s="33" t="s">
        <v>75</v>
      </c>
      <c r="B1104" s="33" t="s">
        <v>292</v>
      </c>
      <c r="C1104" s="33" t="s">
        <v>292</v>
      </c>
      <c r="D1104" s="33" t="s">
        <v>18</v>
      </c>
      <c r="E1104" s="34">
        <v>254.16</v>
      </c>
      <c r="F1104" s="33" t="s">
        <v>599</v>
      </c>
    </row>
    <row r="1105" ht="15.75" customHeight="1">
      <c r="A1105" s="33" t="s">
        <v>75</v>
      </c>
      <c r="B1105" s="33" t="s">
        <v>180</v>
      </c>
      <c r="C1105" s="33" t="s">
        <v>180</v>
      </c>
      <c r="D1105" s="33" t="s">
        <v>36</v>
      </c>
      <c r="E1105" s="34">
        <v>872.33</v>
      </c>
      <c r="F1105" s="33" t="s">
        <v>1543</v>
      </c>
    </row>
    <row r="1106" ht="15.75" customHeight="1">
      <c r="A1106" s="33" t="s">
        <v>75</v>
      </c>
      <c r="B1106" s="33" t="s">
        <v>369</v>
      </c>
      <c r="C1106" s="33" t="s">
        <v>369</v>
      </c>
      <c r="D1106" s="33" t="s">
        <v>36</v>
      </c>
      <c r="E1106" s="34">
        <v>62.95</v>
      </c>
      <c r="F1106" s="33" t="s">
        <v>1544</v>
      </c>
    </row>
    <row r="1107" ht="15.75" customHeight="1">
      <c r="A1107" s="33" t="s">
        <v>75</v>
      </c>
      <c r="B1107" s="33" t="s">
        <v>382</v>
      </c>
      <c r="C1107" s="33" t="s">
        <v>382</v>
      </c>
      <c r="D1107" s="33" t="s">
        <v>36</v>
      </c>
      <c r="E1107" s="34">
        <v>54.14</v>
      </c>
      <c r="F1107" s="33" t="s">
        <v>1545</v>
      </c>
    </row>
    <row r="1108" ht="15.75" customHeight="1">
      <c r="A1108" s="33" t="s">
        <v>75</v>
      </c>
      <c r="B1108" s="33" t="s">
        <v>502</v>
      </c>
      <c r="C1108" s="33" t="s">
        <v>502</v>
      </c>
      <c r="D1108" s="33" t="s">
        <v>14</v>
      </c>
      <c r="E1108" s="34">
        <v>35.0</v>
      </c>
      <c r="F1108" s="33" t="s">
        <v>1546</v>
      </c>
    </row>
    <row r="1109" ht="15.75" customHeight="1">
      <c r="A1109" s="33" t="s">
        <v>75</v>
      </c>
      <c r="B1109" s="33" t="s">
        <v>273</v>
      </c>
      <c r="C1109" s="33" t="s">
        <v>273</v>
      </c>
      <c r="D1109" s="33" t="s">
        <v>14</v>
      </c>
      <c r="E1109" s="34">
        <v>2996.0</v>
      </c>
      <c r="F1109" s="33" t="s">
        <v>1547</v>
      </c>
    </row>
    <row r="1110" ht="15.75" customHeight="1">
      <c r="A1110" s="33" t="s">
        <v>75</v>
      </c>
      <c r="B1110" s="33" t="s">
        <v>91</v>
      </c>
      <c r="C1110" s="33" t="s">
        <v>91</v>
      </c>
      <c r="D1110" s="33" t="s">
        <v>32</v>
      </c>
      <c r="E1110" s="34">
        <v>12887.2</v>
      </c>
      <c r="F1110" s="33" t="s">
        <v>1548</v>
      </c>
    </row>
    <row r="1111" ht="15.75" customHeight="1">
      <c r="A1111" s="33" t="s">
        <v>75</v>
      </c>
      <c r="B1111" s="33" t="s">
        <v>448</v>
      </c>
      <c r="C1111" s="33" t="s">
        <v>448</v>
      </c>
      <c r="D1111" s="33" t="s">
        <v>14</v>
      </c>
      <c r="E1111" s="34">
        <v>101.0</v>
      </c>
      <c r="F1111" s="33" t="s">
        <v>1549</v>
      </c>
    </row>
    <row r="1112" ht="15.75" customHeight="1">
      <c r="A1112" s="33" t="s">
        <v>75</v>
      </c>
      <c r="B1112" s="33" t="s">
        <v>1550</v>
      </c>
      <c r="C1112" s="33" t="s">
        <v>538</v>
      </c>
      <c r="D1112" s="33" t="s">
        <v>14</v>
      </c>
      <c r="E1112" s="34">
        <v>10933.95</v>
      </c>
      <c r="F1112" s="33" t="s">
        <v>539</v>
      </c>
    </row>
    <row r="1113" ht="15.75" customHeight="1">
      <c r="A1113" s="33" t="s">
        <v>75</v>
      </c>
      <c r="B1113" s="33" t="s">
        <v>368</v>
      </c>
      <c r="C1113" s="33" t="s">
        <v>368</v>
      </c>
      <c r="D1113" s="33" t="s">
        <v>14</v>
      </c>
      <c r="E1113" s="34">
        <v>129.36</v>
      </c>
      <c r="F1113" s="33" t="s">
        <v>1551</v>
      </c>
    </row>
    <row r="1114" ht="15.75" customHeight="1">
      <c r="A1114" s="33" t="s">
        <v>75</v>
      </c>
      <c r="B1114" s="33" t="s">
        <v>785</v>
      </c>
      <c r="C1114" s="33" t="s">
        <v>785</v>
      </c>
      <c r="D1114" s="33" t="s">
        <v>22</v>
      </c>
      <c r="E1114" s="34">
        <v>20986.58</v>
      </c>
      <c r="F1114" s="33" t="s">
        <v>1552</v>
      </c>
    </row>
    <row r="1115" ht="15.75" customHeight="1">
      <c r="A1115" s="33" t="s">
        <v>75</v>
      </c>
      <c r="B1115" s="33" t="s">
        <v>480</v>
      </c>
      <c r="C1115" s="33" t="s">
        <v>480</v>
      </c>
      <c r="D1115" s="33" t="s">
        <v>14</v>
      </c>
      <c r="E1115" s="34">
        <v>90.0</v>
      </c>
      <c r="F1115" s="33" t="s">
        <v>1553</v>
      </c>
    </row>
    <row r="1116" ht="15.75" customHeight="1">
      <c r="A1116" s="33" t="s">
        <v>75</v>
      </c>
      <c r="B1116" s="33" t="s">
        <v>388</v>
      </c>
      <c r="C1116" s="33" t="s">
        <v>388</v>
      </c>
      <c r="D1116" s="33" t="s">
        <v>14</v>
      </c>
      <c r="E1116" s="34">
        <v>466.27</v>
      </c>
      <c r="F1116" s="33" t="s">
        <v>1554</v>
      </c>
    </row>
    <row r="1117" ht="15.75" customHeight="1">
      <c r="A1117" s="33" t="s">
        <v>75</v>
      </c>
      <c r="B1117" s="33" t="s">
        <v>98</v>
      </c>
      <c r="C1117" s="33" t="s">
        <v>1483</v>
      </c>
      <c r="D1117" s="33" t="s">
        <v>26</v>
      </c>
      <c r="E1117" s="34">
        <v>7846.37</v>
      </c>
      <c r="F1117" s="33" t="s">
        <v>1555</v>
      </c>
    </row>
    <row r="1118" ht="15.75" customHeight="1">
      <c r="A1118" s="33" t="s">
        <v>75</v>
      </c>
      <c r="B1118" s="33" t="s">
        <v>211</v>
      </c>
      <c r="C1118" s="33" t="s">
        <v>211</v>
      </c>
      <c r="D1118" s="33" t="s">
        <v>24</v>
      </c>
      <c r="E1118" s="34">
        <v>7082.95</v>
      </c>
      <c r="F1118" s="33" t="s">
        <v>1556</v>
      </c>
    </row>
    <row r="1119" ht="15.75" customHeight="1">
      <c r="A1119" s="33" t="s">
        <v>75</v>
      </c>
      <c r="B1119" s="33" t="s">
        <v>454</v>
      </c>
      <c r="C1119" s="33" t="s">
        <v>454</v>
      </c>
      <c r="D1119" s="33" t="s">
        <v>14</v>
      </c>
      <c r="E1119" s="34">
        <v>120.0</v>
      </c>
      <c r="F1119" s="33" t="s">
        <v>1557</v>
      </c>
    </row>
    <row r="1120" ht="15.75" customHeight="1">
      <c r="A1120" s="33" t="s">
        <v>75</v>
      </c>
      <c r="B1120" s="33" t="s">
        <v>132</v>
      </c>
      <c r="C1120" s="33" t="s">
        <v>132</v>
      </c>
      <c r="D1120" s="33" t="s">
        <v>30</v>
      </c>
      <c r="E1120" s="34">
        <v>3200.0</v>
      </c>
      <c r="F1120" s="33" t="s">
        <v>1357</v>
      </c>
    </row>
    <row r="1121" ht="15.75" customHeight="1">
      <c r="A1121" s="33" t="s">
        <v>75</v>
      </c>
      <c r="B1121" s="33" t="s">
        <v>344</v>
      </c>
      <c r="C1121" s="33" t="s">
        <v>344</v>
      </c>
      <c r="D1121" s="33" t="s">
        <v>14</v>
      </c>
      <c r="E1121" s="34">
        <v>52.29</v>
      </c>
      <c r="F1121" s="33" t="s">
        <v>1558</v>
      </c>
    </row>
    <row r="1122" ht="15.75" customHeight="1">
      <c r="A1122" s="33" t="s">
        <v>75</v>
      </c>
      <c r="B1122" s="33" t="s">
        <v>213</v>
      </c>
      <c r="C1122" s="33" t="s">
        <v>213</v>
      </c>
      <c r="D1122" s="33" t="s">
        <v>14</v>
      </c>
      <c r="E1122" s="34">
        <v>7695.0</v>
      </c>
      <c r="F1122" s="33" t="s">
        <v>1304</v>
      </c>
    </row>
    <row r="1123" ht="15.75" customHeight="1">
      <c r="A1123" s="33" t="s">
        <v>75</v>
      </c>
      <c r="B1123" s="33" t="s">
        <v>439</v>
      </c>
      <c r="C1123" s="33" t="s">
        <v>439</v>
      </c>
      <c r="D1123" s="33" t="s">
        <v>20</v>
      </c>
      <c r="E1123" s="34">
        <v>270.5</v>
      </c>
      <c r="F1123" s="33" t="s">
        <v>1559</v>
      </c>
    </row>
    <row r="1124" ht="15.75" customHeight="1">
      <c r="A1124" s="33" t="s">
        <v>75</v>
      </c>
      <c r="B1124" s="33" t="s">
        <v>1560</v>
      </c>
      <c r="C1124" s="33" t="s">
        <v>534</v>
      </c>
      <c r="D1124" s="33" t="s">
        <v>18</v>
      </c>
      <c r="E1124" s="34">
        <v>2821.71</v>
      </c>
      <c r="F1124" s="33" t="s">
        <v>1561</v>
      </c>
    </row>
    <row r="1125" ht="15.75" customHeight="1">
      <c r="A1125" s="33" t="s">
        <v>75</v>
      </c>
      <c r="B1125" s="33" t="s">
        <v>195</v>
      </c>
      <c r="C1125" s="33" t="s">
        <v>195</v>
      </c>
      <c r="D1125" s="33" t="s">
        <v>14</v>
      </c>
      <c r="E1125" s="34">
        <v>9959.0</v>
      </c>
      <c r="F1125" s="33" t="s">
        <v>1304</v>
      </c>
    </row>
    <row r="1126" ht="15.75" customHeight="1">
      <c r="A1126" s="33" t="s">
        <v>75</v>
      </c>
      <c r="B1126" s="33" t="s">
        <v>405</v>
      </c>
      <c r="C1126" s="33" t="s">
        <v>405</v>
      </c>
      <c r="D1126" s="33" t="s">
        <v>14</v>
      </c>
      <c r="E1126" s="34">
        <v>500.0</v>
      </c>
      <c r="F1126" s="33" t="s">
        <v>1562</v>
      </c>
    </row>
    <row r="1127" ht="15.75" customHeight="1">
      <c r="A1127" s="33" t="s">
        <v>75</v>
      </c>
      <c r="B1127" s="33" t="s">
        <v>1563</v>
      </c>
      <c r="C1127" s="33" t="s">
        <v>540</v>
      </c>
      <c r="D1127" s="33" t="s">
        <v>14</v>
      </c>
      <c r="E1127" s="34">
        <v>2984.1</v>
      </c>
      <c r="F1127" s="33" t="s">
        <v>1564</v>
      </c>
    </row>
    <row r="1128" ht="15.75" customHeight="1">
      <c r="A1128" s="33" t="s">
        <v>75</v>
      </c>
      <c r="B1128" s="33" t="s">
        <v>177</v>
      </c>
      <c r="C1128" s="33" t="s">
        <v>177</v>
      </c>
      <c r="D1128" s="33" t="s">
        <v>14</v>
      </c>
      <c r="E1128" s="34">
        <v>1833.16</v>
      </c>
      <c r="F1128" s="33" t="s">
        <v>1565</v>
      </c>
    </row>
    <row r="1129" ht="15.75" customHeight="1">
      <c r="A1129" s="33" t="s">
        <v>75</v>
      </c>
      <c r="B1129" s="33" t="s">
        <v>142</v>
      </c>
      <c r="C1129" s="33" t="s">
        <v>142</v>
      </c>
      <c r="D1129" s="33" t="s">
        <v>36</v>
      </c>
      <c r="E1129" s="34">
        <v>2037.25</v>
      </c>
      <c r="F1129" s="33" t="s">
        <v>543</v>
      </c>
    </row>
    <row r="1130" ht="15.75" customHeight="1">
      <c r="A1130" s="33" t="s">
        <v>75</v>
      </c>
      <c r="B1130" s="33" t="s">
        <v>425</v>
      </c>
      <c r="C1130" s="33" t="s">
        <v>425</v>
      </c>
      <c r="D1130" s="33" t="s">
        <v>22</v>
      </c>
      <c r="E1130" s="34">
        <v>40.23</v>
      </c>
      <c r="F1130" s="33" t="s">
        <v>1566</v>
      </c>
    </row>
    <row r="1131" ht="15.75" customHeight="1">
      <c r="A1131" s="33" t="s">
        <v>75</v>
      </c>
      <c r="B1131" s="33" t="s">
        <v>1053</v>
      </c>
      <c r="C1131" s="33" t="s">
        <v>117</v>
      </c>
      <c r="D1131" s="33" t="s">
        <v>14</v>
      </c>
      <c r="E1131" s="34">
        <v>6221.31</v>
      </c>
      <c r="F1131" s="33" t="s">
        <v>1567</v>
      </c>
    </row>
    <row r="1132" ht="15.75" customHeight="1">
      <c r="A1132" s="33" t="s">
        <v>75</v>
      </c>
      <c r="B1132" s="33" t="s">
        <v>218</v>
      </c>
      <c r="C1132" s="33" t="s">
        <v>553</v>
      </c>
      <c r="D1132" s="33" t="s">
        <v>40</v>
      </c>
      <c r="E1132" s="34">
        <v>240.25</v>
      </c>
      <c r="F1132" s="33" t="s">
        <v>1568</v>
      </c>
    </row>
    <row r="1133" ht="15.75" customHeight="1">
      <c r="A1133" s="33" t="s">
        <v>75</v>
      </c>
      <c r="B1133" s="33" t="s">
        <v>1530</v>
      </c>
      <c r="C1133" s="33" t="s">
        <v>1056</v>
      </c>
      <c r="D1133" s="33" t="s">
        <v>18</v>
      </c>
      <c r="E1133" s="34">
        <v>68.38</v>
      </c>
      <c r="F1133" s="33" t="s">
        <v>1569</v>
      </c>
    </row>
    <row r="1134" ht="15.75" customHeight="1">
      <c r="A1134" s="33" t="s">
        <v>75</v>
      </c>
      <c r="B1134" s="33" t="s">
        <v>109</v>
      </c>
      <c r="C1134" s="33" t="s">
        <v>109</v>
      </c>
      <c r="D1134" s="33" t="s">
        <v>22</v>
      </c>
      <c r="E1134" s="34">
        <v>405.0</v>
      </c>
      <c r="F1134" s="33" t="s">
        <v>1570</v>
      </c>
    </row>
    <row r="1135" ht="15.75" customHeight="1">
      <c r="A1135" s="33" t="s">
        <v>75</v>
      </c>
      <c r="B1135" s="33" t="s">
        <v>196</v>
      </c>
      <c r="C1135" s="33" t="s">
        <v>196</v>
      </c>
      <c r="D1135" s="33" t="s">
        <v>30</v>
      </c>
      <c r="E1135" s="34">
        <v>272.44</v>
      </c>
      <c r="F1135" s="33" t="s">
        <v>1571</v>
      </c>
    </row>
    <row r="1136" ht="15.75" customHeight="1">
      <c r="A1136" s="33" t="s">
        <v>75</v>
      </c>
      <c r="B1136" s="33" t="s">
        <v>96</v>
      </c>
      <c r="C1136" s="33" t="s">
        <v>925</v>
      </c>
      <c r="D1136" s="33" t="s">
        <v>20</v>
      </c>
      <c r="E1136" s="34">
        <v>8362.03</v>
      </c>
      <c r="F1136" s="33" t="s">
        <v>567</v>
      </c>
    </row>
    <row r="1137" ht="15.75" customHeight="1">
      <c r="A1137" s="33" t="s">
        <v>75</v>
      </c>
      <c r="B1137" s="33" t="s">
        <v>145</v>
      </c>
      <c r="C1137" s="33" t="s">
        <v>564</v>
      </c>
      <c r="D1137" s="33" t="s">
        <v>14</v>
      </c>
      <c r="E1137" s="34">
        <v>3814.78</v>
      </c>
      <c r="F1137" s="33" t="s">
        <v>1572</v>
      </c>
    </row>
    <row r="1138" ht="15.75" customHeight="1">
      <c r="A1138" s="33" t="s">
        <v>75</v>
      </c>
      <c r="B1138" s="33" t="s">
        <v>241</v>
      </c>
      <c r="C1138" s="33" t="s">
        <v>241</v>
      </c>
      <c r="D1138" s="33" t="s">
        <v>14</v>
      </c>
      <c r="E1138" s="34">
        <v>4998.69</v>
      </c>
      <c r="F1138" s="33" t="s">
        <v>1573</v>
      </c>
    </row>
    <row r="1139" ht="15.75" customHeight="1">
      <c r="A1139" s="33" t="s">
        <v>75</v>
      </c>
      <c r="B1139" s="33" t="s">
        <v>152</v>
      </c>
      <c r="C1139" s="33" t="s">
        <v>152</v>
      </c>
      <c r="D1139" s="33" t="s">
        <v>18</v>
      </c>
      <c r="E1139" s="34">
        <v>2022.5</v>
      </c>
      <c r="F1139" s="33" t="s">
        <v>1574</v>
      </c>
    </row>
    <row r="1140" ht="15.75" customHeight="1">
      <c r="A1140" s="33" t="s">
        <v>75</v>
      </c>
      <c r="B1140" s="33" t="s">
        <v>153</v>
      </c>
      <c r="C1140" s="33" t="s">
        <v>153</v>
      </c>
      <c r="D1140" s="33" t="s">
        <v>14</v>
      </c>
      <c r="E1140" s="34">
        <v>2022.5</v>
      </c>
      <c r="F1140" s="33" t="s">
        <v>1574</v>
      </c>
    </row>
    <row r="1141" ht="15.75" customHeight="1">
      <c r="A1141" s="33" t="s">
        <v>75</v>
      </c>
      <c r="B1141" s="33" t="s">
        <v>93</v>
      </c>
      <c r="C1141" s="33" t="s">
        <v>93</v>
      </c>
      <c r="D1141" s="33" t="s">
        <v>16</v>
      </c>
      <c r="E1141" s="34">
        <v>578.0</v>
      </c>
      <c r="F1141" s="33" t="s">
        <v>1575</v>
      </c>
    </row>
    <row r="1142" ht="15.75" customHeight="1">
      <c r="A1142" s="33" t="s">
        <v>75</v>
      </c>
      <c r="B1142" s="33" t="s">
        <v>324</v>
      </c>
      <c r="C1142" s="33" t="s">
        <v>324</v>
      </c>
      <c r="D1142" s="33" t="s">
        <v>14</v>
      </c>
      <c r="E1142" s="34">
        <v>64.58</v>
      </c>
      <c r="F1142" s="33" t="s">
        <v>1576</v>
      </c>
    </row>
    <row r="1143" ht="15.75" customHeight="1">
      <c r="A1143" s="33" t="s">
        <v>75</v>
      </c>
      <c r="B1143" s="33" t="s">
        <v>255</v>
      </c>
      <c r="C1143" s="33" t="s">
        <v>255</v>
      </c>
      <c r="D1143" s="33" t="s">
        <v>14</v>
      </c>
      <c r="E1143" s="34">
        <v>4500.0</v>
      </c>
      <c r="F1143" s="33" t="s">
        <v>1577</v>
      </c>
    </row>
    <row r="1144" ht="15.75" customHeight="1">
      <c r="A1144" s="33" t="s">
        <v>75</v>
      </c>
      <c r="B1144" s="33" t="s">
        <v>197</v>
      </c>
      <c r="C1144" s="33" t="s">
        <v>197</v>
      </c>
      <c r="D1144" s="33" t="s">
        <v>14</v>
      </c>
      <c r="E1144" s="34">
        <v>916.67</v>
      </c>
      <c r="F1144" s="33" t="s">
        <v>1578</v>
      </c>
    </row>
    <row r="1145" ht="15.75" customHeight="1">
      <c r="A1145" s="33" t="s">
        <v>75</v>
      </c>
      <c r="B1145" s="33" t="s">
        <v>162</v>
      </c>
      <c r="C1145" s="33" t="s">
        <v>585</v>
      </c>
      <c r="D1145" s="33" t="s">
        <v>14</v>
      </c>
      <c r="E1145" s="34">
        <v>340.91</v>
      </c>
      <c r="F1145" s="33" t="s">
        <v>1579</v>
      </c>
    </row>
    <row r="1146" ht="15.75" customHeight="1">
      <c r="A1146" s="33" t="s">
        <v>75</v>
      </c>
      <c r="B1146" s="33" t="s">
        <v>190</v>
      </c>
      <c r="C1146" s="33" t="s">
        <v>190</v>
      </c>
      <c r="D1146" s="33" t="s">
        <v>40</v>
      </c>
      <c r="E1146" s="34">
        <v>851.93</v>
      </c>
      <c r="F1146" s="33" t="s">
        <v>1580</v>
      </c>
    </row>
    <row r="1147" ht="15.75" customHeight="1">
      <c r="A1147" s="33" t="s">
        <v>75</v>
      </c>
      <c r="B1147" s="33" t="s">
        <v>125</v>
      </c>
      <c r="C1147" s="33" t="s">
        <v>587</v>
      </c>
      <c r="D1147" s="33" t="s">
        <v>20</v>
      </c>
      <c r="E1147" s="34">
        <v>987.0</v>
      </c>
      <c r="F1147" s="33" t="s">
        <v>1581</v>
      </c>
    </row>
    <row r="1148" ht="15.75" customHeight="1">
      <c r="A1148" s="33" t="s">
        <v>75</v>
      </c>
      <c r="B1148" s="33" t="s">
        <v>103</v>
      </c>
      <c r="C1148" s="33" t="s">
        <v>103</v>
      </c>
      <c r="D1148" s="33" t="s">
        <v>30</v>
      </c>
      <c r="E1148" s="34">
        <v>5143.0</v>
      </c>
      <c r="F1148" s="33" t="s">
        <v>714</v>
      </c>
    </row>
    <row r="1149" ht="15.75" customHeight="1">
      <c r="A1149" s="33" t="s">
        <v>75</v>
      </c>
      <c r="B1149" s="33" t="s">
        <v>433</v>
      </c>
      <c r="C1149" s="33" t="s">
        <v>433</v>
      </c>
      <c r="D1149" s="33" t="s">
        <v>14</v>
      </c>
      <c r="E1149" s="34">
        <v>300.0</v>
      </c>
      <c r="F1149" s="33" t="s">
        <v>1115</v>
      </c>
    </row>
    <row r="1150" ht="15.75" customHeight="1">
      <c r="A1150" s="33" t="s">
        <v>75</v>
      </c>
      <c r="B1150" s="33" t="s">
        <v>406</v>
      </c>
      <c r="C1150" s="33" t="s">
        <v>406</v>
      </c>
      <c r="D1150" s="33" t="s">
        <v>14</v>
      </c>
      <c r="E1150" s="34">
        <v>500.0</v>
      </c>
      <c r="F1150" s="33" t="s">
        <v>1582</v>
      </c>
    </row>
    <row r="1151" ht="15.75" customHeight="1">
      <c r="A1151" s="33" t="s">
        <v>75</v>
      </c>
      <c r="B1151" s="33" t="s">
        <v>298</v>
      </c>
      <c r="C1151" s="33" t="s">
        <v>594</v>
      </c>
      <c r="D1151" s="33" t="s">
        <v>14</v>
      </c>
      <c r="E1151" s="34">
        <v>137.04</v>
      </c>
      <c r="F1151" s="33" t="s">
        <v>595</v>
      </c>
    </row>
    <row r="1152" ht="15.75" customHeight="1">
      <c r="A1152" s="33" t="s">
        <v>75</v>
      </c>
      <c r="B1152" s="33" t="s">
        <v>97</v>
      </c>
      <c r="C1152" s="33" t="s">
        <v>650</v>
      </c>
      <c r="D1152" s="33" t="s">
        <v>30</v>
      </c>
      <c r="E1152" s="34">
        <v>27.0</v>
      </c>
      <c r="F1152" s="33" t="s">
        <v>1583</v>
      </c>
    </row>
    <row r="1153" ht="15.75" customHeight="1">
      <c r="A1153" s="33" t="s">
        <v>75</v>
      </c>
      <c r="B1153" s="33" t="s">
        <v>161</v>
      </c>
      <c r="C1153" s="33" t="s">
        <v>596</v>
      </c>
      <c r="D1153" s="33" t="s">
        <v>38</v>
      </c>
      <c r="E1153" s="34">
        <v>135.63</v>
      </c>
      <c r="F1153" s="33" t="s">
        <v>1584</v>
      </c>
    </row>
    <row r="1154" ht="15.75" customHeight="1">
      <c r="A1154" s="33" t="s">
        <v>75</v>
      </c>
      <c r="B1154" s="33" t="s">
        <v>164</v>
      </c>
      <c r="C1154" s="33" t="s">
        <v>164</v>
      </c>
      <c r="D1154" s="33" t="s">
        <v>14</v>
      </c>
      <c r="E1154" s="34">
        <v>5000.0</v>
      </c>
      <c r="F1154" s="33" t="s">
        <v>718</v>
      </c>
    </row>
    <row r="1155" ht="15.75" customHeight="1">
      <c r="A1155" s="33" t="s">
        <v>75</v>
      </c>
      <c r="B1155" s="33" t="s">
        <v>163</v>
      </c>
      <c r="C1155" s="33" t="s">
        <v>163</v>
      </c>
      <c r="D1155" s="33" t="s">
        <v>14</v>
      </c>
      <c r="E1155" s="34">
        <v>637.8</v>
      </c>
      <c r="F1155" s="33" t="s">
        <v>722</v>
      </c>
    </row>
    <row r="1156" ht="15.75" customHeight="1">
      <c r="A1156" s="33" t="s">
        <v>75</v>
      </c>
      <c r="B1156" s="33" t="s">
        <v>243</v>
      </c>
      <c r="C1156" s="33" t="s">
        <v>243</v>
      </c>
      <c r="D1156" s="33" t="s">
        <v>14</v>
      </c>
      <c r="E1156" s="34">
        <v>425.76</v>
      </c>
      <c r="F1156" s="33" t="s">
        <v>604</v>
      </c>
    </row>
    <row r="1157" ht="15.75" customHeight="1">
      <c r="A1157" s="33" t="s">
        <v>75</v>
      </c>
      <c r="B1157" s="33" t="s">
        <v>246</v>
      </c>
      <c r="C1157" s="33" t="s">
        <v>246</v>
      </c>
      <c r="D1157" s="33" t="s">
        <v>42</v>
      </c>
      <c r="E1157" s="34">
        <v>180.0</v>
      </c>
      <c r="F1157" s="33" t="s">
        <v>1585</v>
      </c>
    </row>
    <row r="1158" ht="15.75" customHeight="1">
      <c r="A1158" s="33" t="s">
        <v>76</v>
      </c>
      <c r="B1158" s="33" t="s">
        <v>360</v>
      </c>
      <c r="C1158" s="33" t="s">
        <v>360</v>
      </c>
      <c r="D1158" s="33" t="s">
        <v>14</v>
      </c>
      <c r="E1158" s="34">
        <v>150.0</v>
      </c>
      <c r="F1158" s="33" t="s">
        <v>1586</v>
      </c>
    </row>
    <row r="1159" ht="15.75" customHeight="1">
      <c r="A1159" s="33" t="s">
        <v>76</v>
      </c>
      <c r="B1159" s="33" t="s">
        <v>269</v>
      </c>
      <c r="C1159" s="33" t="s">
        <v>856</v>
      </c>
      <c r="D1159" s="33" t="s">
        <v>14</v>
      </c>
      <c r="E1159" s="34">
        <v>1137.5</v>
      </c>
      <c r="F1159" s="33" t="s">
        <v>1587</v>
      </c>
    </row>
    <row r="1160" ht="15.75" customHeight="1">
      <c r="A1160" s="33" t="s">
        <v>76</v>
      </c>
      <c r="B1160" s="33" t="s">
        <v>344</v>
      </c>
      <c r="C1160" s="33" t="s">
        <v>344</v>
      </c>
      <c r="D1160" s="33" t="s">
        <v>14</v>
      </c>
      <c r="E1160" s="34">
        <v>60.5</v>
      </c>
      <c r="F1160" s="33" t="s">
        <v>1588</v>
      </c>
    </row>
    <row r="1161" ht="15.75" customHeight="1">
      <c r="A1161" s="33" t="s">
        <v>76</v>
      </c>
      <c r="B1161" s="33" t="s">
        <v>183</v>
      </c>
      <c r="C1161" s="33" t="s">
        <v>183</v>
      </c>
      <c r="D1161" s="33" t="s">
        <v>16</v>
      </c>
      <c r="E1161" s="34">
        <v>1252.82</v>
      </c>
      <c r="F1161" s="33" t="s">
        <v>1589</v>
      </c>
    </row>
    <row r="1162" ht="15.75" customHeight="1">
      <c r="A1162" s="33" t="s">
        <v>76</v>
      </c>
      <c r="B1162" s="33" t="s">
        <v>110</v>
      </c>
      <c r="C1162" s="33" t="s">
        <v>110</v>
      </c>
      <c r="D1162" s="33" t="s">
        <v>36</v>
      </c>
      <c r="E1162" s="34">
        <v>5091.32</v>
      </c>
      <c r="F1162" s="33" t="s">
        <v>1590</v>
      </c>
    </row>
    <row r="1163" ht="15.75" customHeight="1">
      <c r="A1163" s="33" t="s">
        <v>76</v>
      </c>
      <c r="B1163" s="33" t="s">
        <v>278</v>
      </c>
      <c r="C1163" s="33" t="s">
        <v>846</v>
      </c>
      <c r="D1163" s="33" t="s">
        <v>14</v>
      </c>
      <c r="E1163" s="34">
        <v>350.0</v>
      </c>
      <c r="F1163" s="33" t="s">
        <v>1591</v>
      </c>
    </row>
    <row r="1164" ht="15.75" customHeight="1">
      <c r="A1164" s="33" t="s">
        <v>76</v>
      </c>
      <c r="B1164" s="33" t="s">
        <v>139</v>
      </c>
      <c r="C1164" s="33" t="s">
        <v>732</v>
      </c>
      <c r="D1164" s="33" t="s">
        <v>14</v>
      </c>
      <c r="E1164" s="34">
        <v>10968.84</v>
      </c>
      <c r="F1164" s="33" t="s">
        <v>1592</v>
      </c>
    </row>
    <row r="1165" ht="15.75" customHeight="1">
      <c r="A1165" s="33" t="s">
        <v>76</v>
      </c>
      <c r="B1165" s="33" t="s">
        <v>102</v>
      </c>
      <c r="C1165" s="33" t="s">
        <v>615</v>
      </c>
      <c r="D1165" s="33" t="s">
        <v>14</v>
      </c>
      <c r="E1165" s="34">
        <v>11000.0</v>
      </c>
      <c r="F1165" s="33" t="s">
        <v>1593</v>
      </c>
    </row>
    <row r="1166" ht="15.75" customHeight="1">
      <c r="A1166" s="33" t="s">
        <v>76</v>
      </c>
      <c r="B1166" s="33" t="s">
        <v>94</v>
      </c>
      <c r="C1166" s="33" t="s">
        <v>619</v>
      </c>
      <c r="D1166" s="33" t="s">
        <v>22</v>
      </c>
      <c r="E1166" s="34">
        <v>10803.25</v>
      </c>
      <c r="F1166" s="33" t="s">
        <v>1594</v>
      </c>
    </row>
    <row r="1167" ht="15.75" customHeight="1">
      <c r="A1167" s="33" t="s">
        <v>76</v>
      </c>
      <c r="B1167" s="33" t="s">
        <v>137</v>
      </c>
      <c r="C1167" s="33" t="s">
        <v>137</v>
      </c>
      <c r="D1167" s="33" t="s">
        <v>18</v>
      </c>
      <c r="E1167" s="34">
        <v>345.91</v>
      </c>
      <c r="F1167" s="33" t="s">
        <v>1595</v>
      </c>
    </row>
    <row r="1168" ht="15.75" customHeight="1">
      <c r="A1168" s="33" t="s">
        <v>76</v>
      </c>
      <c r="B1168" s="33" t="s">
        <v>90</v>
      </c>
      <c r="C1168" s="33" t="s">
        <v>536</v>
      </c>
      <c r="D1168" s="33" t="s">
        <v>18</v>
      </c>
      <c r="E1168" s="34">
        <v>8077.05</v>
      </c>
      <c r="F1168" s="33" t="s">
        <v>1596</v>
      </c>
    </row>
    <row r="1169" ht="15.75" customHeight="1">
      <c r="A1169" s="33" t="s">
        <v>76</v>
      </c>
      <c r="B1169" s="33" t="s">
        <v>291</v>
      </c>
      <c r="C1169" s="33" t="s">
        <v>291</v>
      </c>
      <c r="D1169" s="33" t="s">
        <v>38</v>
      </c>
      <c r="E1169" s="34">
        <v>177.1</v>
      </c>
      <c r="F1169" s="33" t="s">
        <v>1597</v>
      </c>
    </row>
    <row r="1170" ht="15.75" customHeight="1">
      <c r="A1170" s="33" t="s">
        <v>76</v>
      </c>
      <c r="B1170" s="33" t="s">
        <v>214</v>
      </c>
      <c r="C1170" s="33" t="s">
        <v>214</v>
      </c>
      <c r="D1170" s="33" t="s">
        <v>14</v>
      </c>
      <c r="E1170" s="34">
        <v>348.0</v>
      </c>
      <c r="F1170" s="33" t="s">
        <v>1598</v>
      </c>
    </row>
    <row r="1171" ht="15.75" customHeight="1">
      <c r="A1171" s="33" t="s">
        <v>76</v>
      </c>
      <c r="B1171" s="33" t="s">
        <v>127</v>
      </c>
      <c r="C1171" s="33" t="s">
        <v>127</v>
      </c>
      <c r="D1171" s="33" t="s">
        <v>36</v>
      </c>
      <c r="E1171" s="34">
        <v>116.85</v>
      </c>
      <c r="F1171" s="33" t="s">
        <v>1599</v>
      </c>
    </row>
    <row r="1172" ht="15.75" customHeight="1">
      <c r="A1172" s="33" t="s">
        <v>76</v>
      </c>
      <c r="B1172" s="33" t="s">
        <v>142</v>
      </c>
      <c r="C1172" s="33" t="s">
        <v>142</v>
      </c>
      <c r="D1172" s="33" t="s">
        <v>36</v>
      </c>
      <c r="E1172" s="34">
        <v>1992.4</v>
      </c>
      <c r="F1172" s="33" t="s">
        <v>1600</v>
      </c>
    </row>
    <row r="1173" ht="15.75" customHeight="1">
      <c r="A1173" s="33" t="s">
        <v>76</v>
      </c>
      <c r="B1173" s="33" t="s">
        <v>21</v>
      </c>
      <c r="C1173" s="33" t="s">
        <v>21</v>
      </c>
      <c r="D1173" s="33" t="s">
        <v>16</v>
      </c>
      <c r="E1173" s="34">
        <v>98482.56</v>
      </c>
      <c r="F1173" s="33" t="s">
        <v>1601</v>
      </c>
    </row>
    <row r="1174" ht="15.75" customHeight="1">
      <c r="A1174" s="33" t="s">
        <v>76</v>
      </c>
      <c r="B1174" s="33" t="s">
        <v>33</v>
      </c>
      <c r="C1174" s="33" t="s">
        <v>785</v>
      </c>
      <c r="D1174" s="33" t="s">
        <v>22</v>
      </c>
      <c r="E1174" s="34">
        <v>7402.67</v>
      </c>
      <c r="F1174" s="33" t="s">
        <v>1602</v>
      </c>
    </row>
    <row r="1175" ht="15.75" customHeight="1">
      <c r="A1175" s="33" t="s">
        <v>76</v>
      </c>
      <c r="B1175" s="33" t="s">
        <v>329</v>
      </c>
      <c r="C1175" s="33" t="s">
        <v>329</v>
      </c>
      <c r="D1175" s="33" t="s">
        <v>14</v>
      </c>
      <c r="E1175" s="34">
        <v>259.0</v>
      </c>
      <c r="F1175" s="33" t="s">
        <v>1603</v>
      </c>
    </row>
    <row r="1176" ht="15.75" customHeight="1">
      <c r="A1176" s="33" t="s">
        <v>76</v>
      </c>
      <c r="B1176" s="33" t="s">
        <v>399</v>
      </c>
      <c r="C1176" s="33" t="s">
        <v>399</v>
      </c>
      <c r="D1176" s="33" t="s">
        <v>14</v>
      </c>
      <c r="E1176" s="34">
        <v>196.65</v>
      </c>
      <c r="F1176" s="33" t="s">
        <v>1604</v>
      </c>
    </row>
    <row r="1177" ht="15.75" customHeight="1">
      <c r="A1177" s="33" t="s">
        <v>76</v>
      </c>
      <c r="B1177" s="33" t="s">
        <v>218</v>
      </c>
      <c r="C1177" s="33" t="s">
        <v>553</v>
      </c>
      <c r="D1177" s="33" t="s">
        <v>40</v>
      </c>
      <c r="E1177" s="34">
        <v>288.0</v>
      </c>
      <c r="F1177" s="33" t="s">
        <v>1605</v>
      </c>
    </row>
    <row r="1178" ht="15.75" customHeight="1">
      <c r="A1178" s="33" t="s">
        <v>76</v>
      </c>
      <c r="B1178" s="33" t="s">
        <v>196</v>
      </c>
      <c r="C1178" s="33" t="s">
        <v>196</v>
      </c>
      <c r="D1178" s="33" t="s">
        <v>30</v>
      </c>
      <c r="E1178" s="34">
        <v>530.64</v>
      </c>
      <c r="F1178" s="33" t="s">
        <v>1606</v>
      </c>
    </row>
    <row r="1179" ht="15.75" customHeight="1">
      <c r="A1179" s="33" t="s">
        <v>76</v>
      </c>
      <c r="B1179" s="33" t="s">
        <v>35</v>
      </c>
      <c r="C1179" s="33" t="s">
        <v>35</v>
      </c>
      <c r="D1179" s="33" t="s">
        <v>22</v>
      </c>
      <c r="E1179" s="34">
        <v>42256.11</v>
      </c>
      <c r="F1179" s="33" t="s">
        <v>1607</v>
      </c>
    </row>
    <row r="1180" ht="15.75" customHeight="1">
      <c r="A1180" s="33" t="s">
        <v>76</v>
      </c>
      <c r="B1180" s="33" t="s">
        <v>96</v>
      </c>
      <c r="C1180" s="33" t="s">
        <v>925</v>
      </c>
      <c r="D1180" s="33" t="s">
        <v>20</v>
      </c>
      <c r="E1180" s="34">
        <v>10555.51</v>
      </c>
      <c r="F1180" s="33" t="s">
        <v>1608</v>
      </c>
    </row>
    <row r="1181" ht="15.75" customHeight="1">
      <c r="A1181" s="33" t="s">
        <v>76</v>
      </c>
      <c r="B1181" s="33" t="s">
        <v>136</v>
      </c>
      <c r="C1181" s="33" t="s">
        <v>136</v>
      </c>
      <c r="D1181" s="33" t="s">
        <v>14</v>
      </c>
      <c r="E1181" s="34">
        <v>2746.88</v>
      </c>
      <c r="F1181" s="33" t="s">
        <v>1609</v>
      </c>
    </row>
    <row r="1182" ht="15.75" customHeight="1">
      <c r="A1182" s="33" t="s">
        <v>76</v>
      </c>
      <c r="B1182" s="33" t="s">
        <v>336</v>
      </c>
      <c r="C1182" s="33" t="s">
        <v>336</v>
      </c>
      <c r="D1182" s="33" t="s">
        <v>14</v>
      </c>
      <c r="E1182" s="34">
        <v>750.0</v>
      </c>
      <c r="F1182" s="33" t="s">
        <v>1610</v>
      </c>
    </row>
    <row r="1183" ht="15.75" customHeight="1">
      <c r="A1183" s="33" t="s">
        <v>76</v>
      </c>
      <c r="B1183" s="33" t="s">
        <v>155</v>
      </c>
      <c r="C1183" s="33" t="s">
        <v>1436</v>
      </c>
      <c r="D1183" s="33" t="s">
        <v>14</v>
      </c>
      <c r="E1183" s="34">
        <v>4985.0</v>
      </c>
      <c r="F1183" s="33" t="s">
        <v>1611</v>
      </c>
    </row>
    <row r="1184" ht="15.75" customHeight="1">
      <c r="A1184" s="33" t="s">
        <v>76</v>
      </c>
      <c r="B1184" s="33" t="s">
        <v>370</v>
      </c>
      <c r="C1184" s="33" t="s">
        <v>370</v>
      </c>
      <c r="D1184" s="33" t="s">
        <v>14</v>
      </c>
      <c r="E1184" s="34">
        <v>810.0</v>
      </c>
      <c r="F1184" s="33" t="s">
        <v>1612</v>
      </c>
    </row>
    <row r="1185" ht="15.75" customHeight="1">
      <c r="A1185" s="33" t="s">
        <v>76</v>
      </c>
      <c r="B1185" s="33" t="s">
        <v>503</v>
      </c>
      <c r="C1185" s="33" t="s">
        <v>503</v>
      </c>
      <c r="D1185" s="33" t="s">
        <v>14</v>
      </c>
      <c r="E1185" s="34">
        <v>35.0</v>
      </c>
      <c r="F1185" s="33" t="s">
        <v>1613</v>
      </c>
    </row>
    <row r="1186" ht="15.75" customHeight="1">
      <c r="A1186" s="33" t="s">
        <v>76</v>
      </c>
      <c r="B1186" s="33" t="s">
        <v>504</v>
      </c>
      <c r="C1186" s="33" t="s">
        <v>504</v>
      </c>
      <c r="D1186" s="33" t="s">
        <v>14</v>
      </c>
      <c r="E1186" s="34">
        <v>35.0</v>
      </c>
      <c r="F1186" s="33" t="s">
        <v>1613</v>
      </c>
    </row>
    <row r="1187" ht="15.75" customHeight="1">
      <c r="A1187" s="33" t="s">
        <v>76</v>
      </c>
      <c r="B1187" s="33" t="s">
        <v>186</v>
      </c>
      <c r="C1187" s="33" t="s">
        <v>186</v>
      </c>
      <c r="D1187" s="33" t="s">
        <v>18</v>
      </c>
      <c r="E1187" s="34">
        <v>1440.08</v>
      </c>
      <c r="F1187" s="33" t="s">
        <v>1614</v>
      </c>
    </row>
    <row r="1188" ht="15.75" customHeight="1">
      <c r="A1188" s="33" t="s">
        <v>76</v>
      </c>
      <c r="B1188" s="33" t="s">
        <v>99</v>
      </c>
      <c r="C1188" s="33" t="s">
        <v>99</v>
      </c>
      <c r="D1188" s="33" t="s">
        <v>16</v>
      </c>
      <c r="E1188" s="34">
        <v>4675.0</v>
      </c>
      <c r="F1188" s="33" t="s">
        <v>1615</v>
      </c>
    </row>
    <row r="1189" ht="15.75" customHeight="1">
      <c r="A1189" s="33" t="s">
        <v>76</v>
      </c>
      <c r="B1189" s="33" t="s">
        <v>465</v>
      </c>
      <c r="C1189" s="33" t="s">
        <v>465</v>
      </c>
      <c r="D1189" s="33" t="s">
        <v>14</v>
      </c>
      <c r="E1189" s="34">
        <v>20.0</v>
      </c>
      <c r="F1189" s="33" t="s">
        <v>1616</v>
      </c>
    </row>
    <row r="1190" ht="15.75" customHeight="1">
      <c r="A1190" s="33" t="s">
        <v>76</v>
      </c>
      <c r="B1190" s="33" t="s">
        <v>407</v>
      </c>
      <c r="C1190" s="33" t="s">
        <v>407</v>
      </c>
      <c r="D1190" s="33" t="s">
        <v>14</v>
      </c>
      <c r="E1190" s="34">
        <v>500.0</v>
      </c>
      <c r="F1190" s="33" t="s">
        <v>1617</v>
      </c>
    </row>
    <row r="1191" ht="15.75" customHeight="1">
      <c r="A1191" s="33" t="s">
        <v>76</v>
      </c>
      <c r="B1191" s="33" t="s">
        <v>410</v>
      </c>
      <c r="C1191" s="33" t="s">
        <v>577</v>
      </c>
      <c r="D1191" s="33" t="s">
        <v>14</v>
      </c>
      <c r="E1191" s="34">
        <v>76.52</v>
      </c>
      <c r="F1191" s="33" t="s">
        <v>1618</v>
      </c>
    </row>
    <row r="1192" ht="15.75" customHeight="1">
      <c r="A1192" s="33" t="s">
        <v>76</v>
      </c>
      <c r="B1192" s="33" t="s">
        <v>294</v>
      </c>
      <c r="C1192" s="33" t="s">
        <v>638</v>
      </c>
      <c r="D1192" s="33" t="s">
        <v>14</v>
      </c>
      <c r="E1192" s="34">
        <v>150.72</v>
      </c>
      <c r="F1192" s="33" t="s">
        <v>1619</v>
      </c>
    </row>
    <row r="1193" ht="15.75" customHeight="1">
      <c r="A1193" s="33" t="s">
        <v>76</v>
      </c>
      <c r="B1193" s="33" t="s">
        <v>128</v>
      </c>
      <c r="C1193" s="33" t="s">
        <v>128</v>
      </c>
      <c r="D1193" s="33" t="s">
        <v>22</v>
      </c>
      <c r="E1193" s="34">
        <v>1203.5</v>
      </c>
      <c r="F1193" s="33" t="s">
        <v>1620</v>
      </c>
    </row>
    <row r="1194" ht="15.75" customHeight="1">
      <c r="A1194" s="33" t="s">
        <v>76</v>
      </c>
      <c r="B1194" s="33" t="s">
        <v>184</v>
      </c>
      <c r="C1194" s="33" t="s">
        <v>581</v>
      </c>
      <c r="D1194" s="33" t="s">
        <v>30</v>
      </c>
      <c r="E1194" s="34">
        <v>500.0</v>
      </c>
      <c r="F1194" s="33" t="s">
        <v>1621</v>
      </c>
    </row>
    <row r="1195" ht="15.75" customHeight="1">
      <c r="A1195" s="33" t="s">
        <v>76</v>
      </c>
      <c r="B1195" s="33" t="s">
        <v>517</v>
      </c>
      <c r="C1195" s="33" t="s">
        <v>517</v>
      </c>
      <c r="D1195" s="33" t="s">
        <v>14</v>
      </c>
      <c r="E1195" s="34">
        <v>4.75</v>
      </c>
      <c r="F1195" s="33" t="s">
        <v>1622</v>
      </c>
    </row>
    <row r="1196" ht="15.75" customHeight="1">
      <c r="A1196" s="33" t="s">
        <v>76</v>
      </c>
      <c r="B1196" s="33" t="s">
        <v>276</v>
      </c>
      <c r="C1196" s="33" t="s">
        <v>1006</v>
      </c>
      <c r="D1196" s="33" t="s">
        <v>14</v>
      </c>
      <c r="E1196" s="34">
        <v>407.5</v>
      </c>
      <c r="F1196" s="33" t="s">
        <v>1623</v>
      </c>
    </row>
    <row r="1197" ht="15.75" customHeight="1">
      <c r="A1197" s="33" t="s">
        <v>76</v>
      </c>
      <c r="B1197" s="33" t="s">
        <v>125</v>
      </c>
      <c r="C1197" s="33" t="s">
        <v>587</v>
      </c>
      <c r="D1197" s="33" t="s">
        <v>20</v>
      </c>
      <c r="E1197" s="34">
        <v>970.25</v>
      </c>
      <c r="F1197" s="33" t="s">
        <v>1624</v>
      </c>
    </row>
    <row r="1198" ht="15.75" customHeight="1">
      <c r="A1198" s="33" t="s">
        <v>76</v>
      </c>
      <c r="B1198" s="33" t="s">
        <v>103</v>
      </c>
      <c r="C1198" s="33" t="s">
        <v>103</v>
      </c>
      <c r="D1198" s="33" t="s">
        <v>30</v>
      </c>
      <c r="E1198" s="34">
        <v>2630.33</v>
      </c>
      <c r="F1198" s="33" t="s">
        <v>1625</v>
      </c>
    </row>
    <row r="1199" ht="15.75" customHeight="1">
      <c r="A1199" s="33" t="s">
        <v>76</v>
      </c>
      <c r="B1199" s="33" t="s">
        <v>29</v>
      </c>
      <c r="C1199" s="33" t="s">
        <v>29</v>
      </c>
      <c r="D1199" s="33" t="s">
        <v>28</v>
      </c>
      <c r="E1199" s="34">
        <v>28703.79</v>
      </c>
      <c r="F1199" s="33" t="s">
        <v>1626</v>
      </c>
    </row>
    <row r="1200" ht="15.75" customHeight="1">
      <c r="A1200" s="33" t="s">
        <v>76</v>
      </c>
      <c r="B1200" s="33" t="s">
        <v>120</v>
      </c>
      <c r="C1200" s="33" t="s">
        <v>819</v>
      </c>
      <c r="D1200" s="33" t="s">
        <v>14</v>
      </c>
      <c r="E1200" s="34">
        <v>29884.81</v>
      </c>
      <c r="F1200" s="33" t="s">
        <v>1627</v>
      </c>
    </row>
    <row r="1201" ht="15.75" customHeight="1">
      <c r="A1201" s="33" t="s">
        <v>76</v>
      </c>
      <c r="B1201" s="33" t="s">
        <v>161</v>
      </c>
      <c r="C1201" s="33" t="s">
        <v>596</v>
      </c>
      <c r="D1201" s="33" t="s">
        <v>38</v>
      </c>
      <c r="E1201" s="34">
        <v>138.63</v>
      </c>
      <c r="F1201" s="33" t="s">
        <v>1628</v>
      </c>
    </row>
    <row r="1202" ht="15.75" customHeight="1">
      <c r="A1202" s="33" t="s">
        <v>76</v>
      </c>
      <c r="B1202" s="33" t="s">
        <v>338</v>
      </c>
      <c r="C1202" s="33" t="s">
        <v>338</v>
      </c>
      <c r="D1202" s="33" t="s">
        <v>16</v>
      </c>
      <c r="E1202" s="34">
        <v>50.0</v>
      </c>
      <c r="F1202" s="33" t="s">
        <v>1629</v>
      </c>
    </row>
    <row r="1203" ht="15.75" customHeight="1">
      <c r="A1203" s="33" t="s">
        <v>76</v>
      </c>
      <c r="B1203" s="33" t="s">
        <v>242</v>
      </c>
      <c r="C1203" s="33" t="s">
        <v>242</v>
      </c>
      <c r="D1203" s="33" t="s">
        <v>36</v>
      </c>
      <c r="E1203" s="34">
        <v>338.73</v>
      </c>
      <c r="F1203" s="33" t="s">
        <v>1630</v>
      </c>
    </row>
    <row r="1204" ht="15.75" customHeight="1">
      <c r="A1204" s="33" t="s">
        <v>76</v>
      </c>
      <c r="B1204" s="33" t="s">
        <v>91</v>
      </c>
      <c r="C1204" s="33" t="s">
        <v>91</v>
      </c>
      <c r="D1204" s="33" t="s">
        <v>32</v>
      </c>
      <c r="E1204" s="34">
        <v>27202.6</v>
      </c>
      <c r="F1204" s="33" t="s">
        <v>1631</v>
      </c>
    </row>
    <row r="1205" ht="15.75" customHeight="1">
      <c r="A1205" s="33" t="s">
        <v>76</v>
      </c>
      <c r="B1205" s="33" t="s">
        <v>505</v>
      </c>
      <c r="C1205" s="33" t="s">
        <v>505</v>
      </c>
      <c r="D1205" s="33" t="s">
        <v>14</v>
      </c>
      <c r="E1205" s="34">
        <v>35.0</v>
      </c>
      <c r="F1205" s="33" t="s">
        <v>1632</v>
      </c>
    </row>
    <row r="1206" ht="15.75" customHeight="1">
      <c r="A1206" s="33" t="s">
        <v>76</v>
      </c>
      <c r="B1206" s="33" t="s">
        <v>394</v>
      </c>
      <c r="C1206" s="33" t="s">
        <v>394</v>
      </c>
      <c r="D1206" s="33" t="s">
        <v>14</v>
      </c>
      <c r="E1206" s="34">
        <v>600.0</v>
      </c>
      <c r="F1206" s="33" t="s">
        <v>1633</v>
      </c>
    </row>
    <row r="1207" ht="15.75" customHeight="1">
      <c r="A1207" s="33" t="s">
        <v>76</v>
      </c>
      <c r="B1207" s="33" t="s">
        <v>313</v>
      </c>
      <c r="C1207" s="33" t="s">
        <v>313</v>
      </c>
      <c r="D1207" s="33" t="s">
        <v>14</v>
      </c>
      <c r="E1207" s="34">
        <v>1625.0</v>
      </c>
      <c r="F1207" s="33" t="s">
        <v>1634</v>
      </c>
    </row>
    <row r="1208" ht="15.75" customHeight="1">
      <c r="A1208" s="33" t="s">
        <v>76</v>
      </c>
      <c r="B1208" s="33" t="s">
        <v>132</v>
      </c>
      <c r="C1208" s="33" t="s">
        <v>132</v>
      </c>
      <c r="D1208" s="33" t="s">
        <v>30</v>
      </c>
      <c r="E1208" s="34">
        <v>3200.0</v>
      </c>
      <c r="F1208" s="33" t="s">
        <v>1635</v>
      </c>
    </row>
    <row r="1209" ht="15.75" customHeight="1">
      <c r="A1209" s="33" t="s">
        <v>76</v>
      </c>
      <c r="B1209" s="33" t="s">
        <v>269</v>
      </c>
      <c r="C1209" s="33" t="s">
        <v>856</v>
      </c>
      <c r="D1209" s="33" t="s">
        <v>14</v>
      </c>
      <c r="E1209" s="34">
        <v>485.0</v>
      </c>
      <c r="F1209" s="33" t="s">
        <v>1636</v>
      </c>
    </row>
    <row r="1210" ht="15.75" customHeight="1">
      <c r="A1210" s="33" t="s">
        <v>76</v>
      </c>
      <c r="B1210" s="33" t="s">
        <v>222</v>
      </c>
      <c r="C1210" s="33" t="s">
        <v>664</v>
      </c>
      <c r="D1210" s="33" t="s">
        <v>38</v>
      </c>
      <c r="E1210" s="34">
        <v>502.4</v>
      </c>
      <c r="F1210" s="33" t="s">
        <v>1637</v>
      </c>
    </row>
    <row r="1211" ht="15.75" customHeight="1">
      <c r="A1211" s="33" t="s">
        <v>76</v>
      </c>
      <c r="B1211" s="33" t="s">
        <v>202</v>
      </c>
      <c r="C1211" s="33" t="s">
        <v>1072</v>
      </c>
      <c r="D1211" s="33" t="s">
        <v>14</v>
      </c>
      <c r="E1211" s="34">
        <v>8828.48</v>
      </c>
      <c r="F1211" s="33" t="s">
        <v>1638</v>
      </c>
    </row>
    <row r="1212" ht="15.75" customHeight="1">
      <c r="A1212" s="33" t="s">
        <v>76</v>
      </c>
      <c r="B1212" s="33" t="s">
        <v>138</v>
      </c>
      <c r="C1212" s="33" t="s">
        <v>527</v>
      </c>
      <c r="D1212" s="33" t="s">
        <v>18</v>
      </c>
      <c r="E1212" s="34">
        <v>19777.03</v>
      </c>
      <c r="F1212" s="33" t="s">
        <v>1639</v>
      </c>
    </row>
    <row r="1213" ht="15.75" customHeight="1">
      <c r="A1213" s="33" t="s">
        <v>76</v>
      </c>
      <c r="B1213" s="33" t="s">
        <v>122</v>
      </c>
      <c r="C1213" s="33" t="s">
        <v>529</v>
      </c>
      <c r="D1213" s="33" t="s">
        <v>20</v>
      </c>
      <c r="E1213" s="34">
        <v>2520.0</v>
      </c>
      <c r="F1213" s="33" t="s">
        <v>1640</v>
      </c>
    </row>
    <row r="1214" ht="15.75" customHeight="1">
      <c r="A1214" s="33" t="s">
        <v>76</v>
      </c>
      <c r="B1214" s="33" t="s">
        <v>232</v>
      </c>
      <c r="C1214" s="33" t="s">
        <v>1407</v>
      </c>
      <c r="D1214" s="33" t="s">
        <v>14</v>
      </c>
      <c r="E1214" s="34">
        <v>105.99</v>
      </c>
      <c r="F1214" s="33" t="s">
        <v>1641</v>
      </c>
    </row>
    <row r="1215" ht="15.75" customHeight="1">
      <c r="A1215" s="33" t="s">
        <v>76</v>
      </c>
      <c r="B1215" s="33" t="s">
        <v>167</v>
      </c>
      <c r="C1215" s="33" t="s">
        <v>1642</v>
      </c>
      <c r="D1215" s="33" t="s">
        <v>26</v>
      </c>
      <c r="E1215" s="34">
        <v>13878.13</v>
      </c>
      <c r="F1215" s="33" t="s">
        <v>1643</v>
      </c>
    </row>
    <row r="1216" ht="15.75" customHeight="1">
      <c r="A1216" s="33" t="s">
        <v>76</v>
      </c>
      <c r="B1216" s="33" t="s">
        <v>123</v>
      </c>
      <c r="C1216" s="33" t="s">
        <v>123</v>
      </c>
      <c r="D1216" s="33" t="s">
        <v>20</v>
      </c>
      <c r="E1216" s="34">
        <v>667.66</v>
      </c>
      <c r="F1216" s="33" t="s">
        <v>1644</v>
      </c>
    </row>
    <row r="1217" ht="15.75" customHeight="1">
      <c r="A1217" s="33" t="s">
        <v>76</v>
      </c>
      <c r="B1217" s="33" t="s">
        <v>140</v>
      </c>
      <c r="C1217" s="33" t="s">
        <v>140</v>
      </c>
      <c r="D1217" s="33" t="s">
        <v>16</v>
      </c>
      <c r="E1217" s="34">
        <v>26658.0</v>
      </c>
      <c r="F1217" s="33" t="s">
        <v>1645</v>
      </c>
    </row>
    <row r="1218" ht="15.75" customHeight="1">
      <c r="A1218" s="33" t="s">
        <v>76</v>
      </c>
      <c r="B1218" s="33" t="s">
        <v>230</v>
      </c>
      <c r="C1218" s="33" t="s">
        <v>1363</v>
      </c>
      <c r="D1218" s="33" t="s">
        <v>36</v>
      </c>
      <c r="E1218" s="34">
        <v>2512.77</v>
      </c>
      <c r="F1218" s="33" t="s">
        <v>1646</v>
      </c>
    </row>
    <row r="1219" ht="15.75" customHeight="1">
      <c r="A1219" s="33" t="s">
        <v>76</v>
      </c>
      <c r="B1219" s="33" t="s">
        <v>113</v>
      </c>
      <c r="C1219" s="33" t="s">
        <v>540</v>
      </c>
      <c r="D1219" s="33" t="s">
        <v>14</v>
      </c>
      <c r="E1219" s="34">
        <v>4441.94</v>
      </c>
      <c r="F1219" s="33" t="s">
        <v>1647</v>
      </c>
    </row>
    <row r="1220" ht="15.75" customHeight="1">
      <c r="A1220" s="33" t="s">
        <v>76</v>
      </c>
      <c r="B1220" s="33" t="s">
        <v>291</v>
      </c>
      <c r="C1220" s="33" t="s">
        <v>291</v>
      </c>
      <c r="D1220" s="33" t="s">
        <v>38</v>
      </c>
      <c r="E1220" s="34">
        <v>144.84</v>
      </c>
      <c r="F1220" s="33" t="s">
        <v>1648</v>
      </c>
    </row>
    <row r="1221" ht="15.75" customHeight="1">
      <c r="A1221" s="33" t="s">
        <v>76</v>
      </c>
      <c r="B1221" s="33" t="s">
        <v>250</v>
      </c>
      <c r="C1221" s="33" t="s">
        <v>250</v>
      </c>
      <c r="D1221" s="33" t="s">
        <v>14</v>
      </c>
      <c r="E1221" s="34">
        <v>365.0</v>
      </c>
      <c r="F1221" s="33" t="s">
        <v>1649</v>
      </c>
    </row>
    <row r="1222" ht="15.75" customHeight="1">
      <c r="A1222" s="33" t="s">
        <v>76</v>
      </c>
      <c r="B1222" s="33" t="s">
        <v>127</v>
      </c>
      <c r="C1222" s="33" t="s">
        <v>127</v>
      </c>
      <c r="D1222" s="33" t="s">
        <v>36</v>
      </c>
      <c r="E1222" s="34">
        <v>2665.07</v>
      </c>
      <c r="F1222" s="33" t="s">
        <v>1650</v>
      </c>
    </row>
    <row r="1223" ht="15.75" customHeight="1">
      <c r="A1223" s="33" t="s">
        <v>76</v>
      </c>
      <c r="B1223" s="33" t="s">
        <v>39</v>
      </c>
      <c r="C1223" s="33" t="s">
        <v>39</v>
      </c>
      <c r="D1223" s="33" t="s">
        <v>16</v>
      </c>
      <c r="E1223" s="34">
        <v>458.63</v>
      </c>
      <c r="F1223" s="33" t="s">
        <v>1651</v>
      </c>
    </row>
    <row r="1224" ht="15.75" customHeight="1">
      <c r="A1224" s="33" t="s">
        <v>76</v>
      </c>
      <c r="B1224" s="33" t="s">
        <v>39</v>
      </c>
      <c r="C1224" s="33" t="s">
        <v>39</v>
      </c>
      <c r="D1224" s="33" t="s">
        <v>16</v>
      </c>
      <c r="E1224" s="34">
        <v>2414.25</v>
      </c>
      <c r="F1224" s="33" t="s">
        <v>1652</v>
      </c>
    </row>
    <row r="1225" ht="15.75" customHeight="1">
      <c r="A1225" s="33" t="s">
        <v>76</v>
      </c>
      <c r="B1225" s="33" t="s">
        <v>116</v>
      </c>
      <c r="C1225" s="33" t="s">
        <v>116</v>
      </c>
      <c r="D1225" s="33" t="s">
        <v>20</v>
      </c>
      <c r="E1225" s="34">
        <v>471.78</v>
      </c>
      <c r="F1225" s="33" t="s">
        <v>1653</v>
      </c>
    </row>
    <row r="1226" ht="15.75" customHeight="1">
      <c r="A1226" s="33" t="s">
        <v>76</v>
      </c>
      <c r="B1226" s="33" t="s">
        <v>329</v>
      </c>
      <c r="C1226" s="33" t="s">
        <v>329</v>
      </c>
      <c r="D1226" s="33" t="s">
        <v>14</v>
      </c>
      <c r="E1226" s="34">
        <v>126.0</v>
      </c>
      <c r="F1226" s="33" t="s">
        <v>1654</v>
      </c>
    </row>
    <row r="1227" ht="15.75" customHeight="1">
      <c r="A1227" s="33" t="s">
        <v>76</v>
      </c>
      <c r="B1227" s="33" t="s">
        <v>111</v>
      </c>
      <c r="C1227" s="33" t="s">
        <v>111</v>
      </c>
      <c r="D1227" s="33" t="s">
        <v>26</v>
      </c>
      <c r="E1227" s="34">
        <v>63814.12</v>
      </c>
      <c r="F1227" s="33" t="s">
        <v>1655</v>
      </c>
    </row>
    <row r="1228" ht="15.75" customHeight="1">
      <c r="A1228" s="33" t="s">
        <v>76</v>
      </c>
      <c r="B1228" s="33" t="s">
        <v>351</v>
      </c>
      <c r="C1228" s="33" t="s">
        <v>351</v>
      </c>
      <c r="D1228" s="33" t="s">
        <v>38</v>
      </c>
      <c r="E1228" s="34">
        <v>8.75</v>
      </c>
      <c r="F1228" s="33" t="s">
        <v>1656</v>
      </c>
    </row>
    <row r="1229" ht="15.75" customHeight="1">
      <c r="A1229" s="33" t="s">
        <v>76</v>
      </c>
      <c r="B1229" s="33" t="s">
        <v>247</v>
      </c>
      <c r="C1229" s="33" t="s">
        <v>961</v>
      </c>
      <c r="D1229" s="33" t="s">
        <v>14</v>
      </c>
      <c r="E1229" s="34">
        <v>96.0</v>
      </c>
      <c r="F1229" s="33" t="s">
        <v>1657</v>
      </c>
    </row>
    <row r="1230" ht="15.75" customHeight="1">
      <c r="A1230" s="33" t="s">
        <v>76</v>
      </c>
      <c r="B1230" s="33" t="s">
        <v>150</v>
      </c>
      <c r="C1230" s="33" t="s">
        <v>551</v>
      </c>
      <c r="D1230" s="33" t="s">
        <v>26</v>
      </c>
      <c r="E1230" s="34">
        <v>1862.0</v>
      </c>
      <c r="F1230" s="33" t="s">
        <v>1658</v>
      </c>
    </row>
    <row r="1231" ht="15.75" customHeight="1">
      <c r="A1231" s="33" t="s">
        <v>76</v>
      </c>
      <c r="B1231" s="33" t="s">
        <v>1053</v>
      </c>
      <c r="C1231" s="33" t="s">
        <v>117</v>
      </c>
      <c r="D1231" s="33" t="s">
        <v>14</v>
      </c>
      <c r="E1231" s="34">
        <v>2058.6</v>
      </c>
      <c r="F1231" s="33" t="s">
        <v>1659</v>
      </c>
    </row>
    <row r="1232" ht="15.75" customHeight="1">
      <c r="A1232" s="33" t="s">
        <v>76</v>
      </c>
      <c r="B1232" s="33" t="s">
        <v>343</v>
      </c>
      <c r="C1232" s="33" t="s">
        <v>343</v>
      </c>
      <c r="D1232" s="33" t="s">
        <v>14</v>
      </c>
      <c r="E1232" s="34">
        <v>219.1</v>
      </c>
      <c r="F1232" s="33" t="s">
        <v>1660</v>
      </c>
    </row>
    <row r="1233" ht="15.75" customHeight="1">
      <c r="A1233" s="33" t="s">
        <v>76</v>
      </c>
      <c r="B1233" s="33" t="s">
        <v>218</v>
      </c>
      <c r="C1233" s="33" t="s">
        <v>553</v>
      </c>
      <c r="D1233" s="33" t="s">
        <v>40</v>
      </c>
      <c r="E1233" s="34">
        <v>288.0</v>
      </c>
      <c r="F1233" s="33" t="s">
        <v>1661</v>
      </c>
    </row>
    <row r="1234" ht="15.75" customHeight="1">
      <c r="A1234" s="33" t="s">
        <v>76</v>
      </c>
      <c r="B1234" s="33" t="s">
        <v>141</v>
      </c>
      <c r="C1234" s="33" t="s">
        <v>141</v>
      </c>
      <c r="D1234" s="33" t="s">
        <v>14</v>
      </c>
      <c r="E1234" s="34">
        <v>850.8</v>
      </c>
      <c r="F1234" s="33" t="s">
        <v>1662</v>
      </c>
    </row>
    <row r="1235" ht="15.75" customHeight="1">
      <c r="A1235" s="33" t="s">
        <v>76</v>
      </c>
      <c r="B1235" s="33" t="s">
        <v>315</v>
      </c>
      <c r="C1235" s="33" t="s">
        <v>315</v>
      </c>
      <c r="D1235" s="33" t="s">
        <v>40</v>
      </c>
      <c r="E1235" s="34">
        <v>250.0</v>
      </c>
      <c r="F1235" s="33" t="s">
        <v>1663</v>
      </c>
    </row>
    <row r="1236" ht="15.75" customHeight="1">
      <c r="A1236" s="33" t="s">
        <v>76</v>
      </c>
      <c r="B1236" s="33" t="s">
        <v>196</v>
      </c>
      <c r="C1236" s="33" t="s">
        <v>196</v>
      </c>
      <c r="D1236" s="33" t="s">
        <v>30</v>
      </c>
      <c r="E1236" s="34">
        <v>183.95</v>
      </c>
      <c r="F1236" s="33" t="s">
        <v>1664</v>
      </c>
    </row>
    <row r="1237" ht="15.75" customHeight="1">
      <c r="A1237" s="33" t="s">
        <v>76</v>
      </c>
      <c r="B1237" s="33" t="s">
        <v>96</v>
      </c>
      <c r="C1237" s="33" t="s">
        <v>925</v>
      </c>
      <c r="D1237" s="33" t="s">
        <v>20</v>
      </c>
      <c r="E1237" s="34">
        <v>5123.55</v>
      </c>
      <c r="F1237" s="33" t="s">
        <v>1665</v>
      </c>
    </row>
    <row r="1238" ht="15.75" customHeight="1">
      <c r="A1238" s="33" t="s">
        <v>76</v>
      </c>
      <c r="B1238" s="33" t="s">
        <v>1666</v>
      </c>
      <c r="C1238" s="33" t="s">
        <v>1209</v>
      </c>
      <c r="D1238" s="33" t="s">
        <v>18</v>
      </c>
      <c r="E1238" s="34">
        <v>128795.0</v>
      </c>
      <c r="F1238" s="33" t="s">
        <v>1667</v>
      </c>
    </row>
    <row r="1239" ht="15.75" customHeight="1">
      <c r="A1239" s="33" t="s">
        <v>76</v>
      </c>
      <c r="B1239" s="33" t="s">
        <v>271</v>
      </c>
      <c r="C1239" s="33" t="s">
        <v>1668</v>
      </c>
      <c r="D1239" s="33" t="s">
        <v>14</v>
      </c>
      <c r="E1239" s="34">
        <v>3263.0</v>
      </c>
      <c r="F1239" s="33" t="s">
        <v>1669</v>
      </c>
    </row>
    <row r="1240" ht="15.75" customHeight="1">
      <c r="A1240" s="33" t="s">
        <v>76</v>
      </c>
      <c r="B1240" s="33" t="s">
        <v>221</v>
      </c>
      <c r="C1240" s="33" t="s">
        <v>221</v>
      </c>
      <c r="D1240" s="33" t="s">
        <v>18</v>
      </c>
      <c r="E1240" s="34">
        <v>1897.38</v>
      </c>
      <c r="F1240" s="33" t="s">
        <v>1670</v>
      </c>
    </row>
    <row r="1241" ht="15.75" customHeight="1">
      <c r="A1241" s="33" t="s">
        <v>76</v>
      </c>
      <c r="B1241" s="33" t="s">
        <v>290</v>
      </c>
      <c r="C1241" s="33" t="s">
        <v>568</v>
      </c>
      <c r="D1241" s="33" t="s">
        <v>14</v>
      </c>
      <c r="E1241" s="34">
        <v>255.0</v>
      </c>
      <c r="F1241" s="33" t="s">
        <v>1671</v>
      </c>
    </row>
    <row r="1242" ht="15.75" customHeight="1">
      <c r="A1242" s="33" t="s">
        <v>76</v>
      </c>
      <c r="B1242" s="33" t="s">
        <v>506</v>
      </c>
      <c r="C1242" s="33" t="s">
        <v>506</v>
      </c>
      <c r="D1242" s="33" t="s">
        <v>14</v>
      </c>
      <c r="E1242" s="34">
        <v>35.0</v>
      </c>
      <c r="F1242" s="33" t="s">
        <v>1672</v>
      </c>
    </row>
    <row r="1243" ht="15.75" customHeight="1">
      <c r="A1243" s="33" t="s">
        <v>76</v>
      </c>
      <c r="B1243" s="33" t="s">
        <v>334</v>
      </c>
      <c r="C1243" s="33" t="s">
        <v>334</v>
      </c>
      <c r="D1243" s="33" t="s">
        <v>14</v>
      </c>
      <c r="E1243" s="34">
        <v>244.11</v>
      </c>
      <c r="F1243" s="33" t="s">
        <v>1673</v>
      </c>
    </row>
    <row r="1244" ht="15.75" customHeight="1">
      <c r="A1244" s="33" t="s">
        <v>76</v>
      </c>
      <c r="B1244" s="33" t="s">
        <v>446</v>
      </c>
      <c r="C1244" s="33" t="s">
        <v>446</v>
      </c>
      <c r="D1244" s="33" t="s">
        <v>14</v>
      </c>
      <c r="E1244" s="34">
        <v>31.9</v>
      </c>
      <c r="F1244" s="33" t="s">
        <v>1674</v>
      </c>
    </row>
    <row r="1245" ht="15.75" customHeight="1">
      <c r="A1245" s="33" t="s">
        <v>76</v>
      </c>
      <c r="B1245" s="33" t="s">
        <v>93</v>
      </c>
      <c r="C1245" s="33" t="s">
        <v>93</v>
      </c>
      <c r="D1245" s="33" t="s">
        <v>16</v>
      </c>
      <c r="E1245" s="34">
        <v>542.0</v>
      </c>
      <c r="F1245" s="33" t="s">
        <v>1675</v>
      </c>
    </row>
    <row r="1246" ht="15.75" customHeight="1">
      <c r="A1246" s="33" t="s">
        <v>76</v>
      </c>
      <c r="B1246" s="33" t="s">
        <v>314</v>
      </c>
      <c r="C1246" s="33" t="s">
        <v>314</v>
      </c>
      <c r="D1246" s="33" t="s">
        <v>14</v>
      </c>
      <c r="E1246" s="34">
        <v>50.0</v>
      </c>
      <c r="F1246" s="33" t="s">
        <v>1676</v>
      </c>
    </row>
    <row r="1247" ht="15.75" customHeight="1">
      <c r="A1247" s="33" t="s">
        <v>76</v>
      </c>
      <c r="B1247" s="33" t="s">
        <v>191</v>
      </c>
      <c r="C1247" s="33" t="s">
        <v>191</v>
      </c>
      <c r="D1247" s="33" t="s">
        <v>14</v>
      </c>
      <c r="E1247" s="34">
        <v>1020.0</v>
      </c>
      <c r="F1247" s="33" t="s">
        <v>1677</v>
      </c>
    </row>
    <row r="1248" ht="15.75" customHeight="1">
      <c r="A1248" s="33" t="s">
        <v>76</v>
      </c>
      <c r="B1248" s="33" t="s">
        <v>186</v>
      </c>
      <c r="C1248" s="33" t="s">
        <v>186</v>
      </c>
      <c r="D1248" s="33" t="s">
        <v>18</v>
      </c>
      <c r="E1248" s="34">
        <v>152.5</v>
      </c>
      <c r="F1248" s="33" t="s">
        <v>1678</v>
      </c>
    </row>
    <row r="1249" ht="15.75" customHeight="1">
      <c r="A1249" s="33" t="s">
        <v>76</v>
      </c>
      <c r="B1249" s="33" t="s">
        <v>99</v>
      </c>
      <c r="C1249" s="33" t="s">
        <v>99</v>
      </c>
      <c r="D1249" s="33" t="s">
        <v>16</v>
      </c>
      <c r="E1249" s="34">
        <v>4675.0</v>
      </c>
      <c r="F1249" s="33" t="s">
        <v>1679</v>
      </c>
    </row>
    <row r="1250" ht="15.75" customHeight="1">
      <c r="A1250" s="33" t="s">
        <v>76</v>
      </c>
      <c r="B1250" s="33" t="s">
        <v>143</v>
      </c>
      <c r="C1250" s="33" t="s">
        <v>1124</v>
      </c>
      <c r="D1250" s="33" t="s">
        <v>14</v>
      </c>
      <c r="E1250" s="34">
        <v>4228.35</v>
      </c>
      <c r="F1250" s="33" t="s">
        <v>1680</v>
      </c>
    </row>
    <row r="1251" ht="15.75" customHeight="1">
      <c r="A1251" s="33" t="s">
        <v>76</v>
      </c>
      <c r="B1251" s="33" t="s">
        <v>384</v>
      </c>
      <c r="C1251" s="33" t="s">
        <v>640</v>
      </c>
      <c r="D1251" s="33" t="s">
        <v>14</v>
      </c>
      <c r="E1251" s="34">
        <v>61.0</v>
      </c>
      <c r="F1251" s="33" t="s">
        <v>1681</v>
      </c>
    </row>
    <row r="1252" ht="15.75" customHeight="1">
      <c r="A1252" s="33" t="s">
        <v>76</v>
      </c>
      <c r="B1252" s="33" t="s">
        <v>105</v>
      </c>
      <c r="C1252" s="33" t="s">
        <v>893</v>
      </c>
      <c r="D1252" s="33" t="s">
        <v>22</v>
      </c>
      <c r="E1252" s="34">
        <v>22000.0</v>
      </c>
      <c r="F1252" s="33" t="s">
        <v>1682</v>
      </c>
    </row>
    <row r="1253" ht="15.75" customHeight="1">
      <c r="A1253" s="33" t="s">
        <v>76</v>
      </c>
      <c r="B1253" s="33" t="s">
        <v>144</v>
      </c>
      <c r="C1253" s="33" t="s">
        <v>144</v>
      </c>
      <c r="D1253" s="33" t="s">
        <v>18</v>
      </c>
      <c r="E1253" s="34">
        <v>569.86</v>
      </c>
      <c r="F1253" s="33" t="s">
        <v>1683</v>
      </c>
    </row>
    <row r="1254" ht="15.75" customHeight="1">
      <c r="A1254" s="33" t="s">
        <v>76</v>
      </c>
      <c r="B1254" s="33" t="s">
        <v>340</v>
      </c>
      <c r="C1254" s="33" t="s">
        <v>340</v>
      </c>
      <c r="D1254" s="33" t="s">
        <v>14</v>
      </c>
      <c r="E1254" s="34">
        <v>1200.0</v>
      </c>
      <c r="F1254" s="33" t="s">
        <v>1684</v>
      </c>
    </row>
    <row r="1255" ht="15.75" customHeight="1">
      <c r="A1255" s="33" t="s">
        <v>76</v>
      </c>
      <c r="B1255" s="33" t="s">
        <v>234</v>
      </c>
      <c r="C1255" s="33" t="s">
        <v>234</v>
      </c>
      <c r="D1255" s="33" t="s">
        <v>14</v>
      </c>
      <c r="E1255" s="34">
        <v>259.0</v>
      </c>
      <c r="F1255" s="33" t="s">
        <v>1685</v>
      </c>
    </row>
    <row r="1256" ht="15.75" customHeight="1">
      <c r="A1256" s="33" t="s">
        <v>76</v>
      </c>
      <c r="B1256" s="33" t="s">
        <v>239</v>
      </c>
      <c r="C1256" s="33" t="s">
        <v>814</v>
      </c>
      <c r="D1256" s="33" t="s">
        <v>18</v>
      </c>
      <c r="E1256" s="34">
        <v>269.5</v>
      </c>
      <c r="F1256" s="33" t="s">
        <v>1686</v>
      </c>
    </row>
    <row r="1257" ht="15.75" customHeight="1">
      <c r="A1257" s="33" t="s">
        <v>76</v>
      </c>
      <c r="B1257" s="33" t="s">
        <v>162</v>
      </c>
      <c r="C1257" s="33" t="s">
        <v>585</v>
      </c>
      <c r="D1257" s="33" t="s">
        <v>14</v>
      </c>
      <c r="E1257" s="34">
        <v>710.97</v>
      </c>
      <c r="F1257" s="33" t="s">
        <v>1687</v>
      </c>
    </row>
    <row r="1258" ht="15.75" customHeight="1">
      <c r="A1258" s="33" t="s">
        <v>76</v>
      </c>
      <c r="B1258" s="33" t="s">
        <v>276</v>
      </c>
      <c r="C1258" s="33" t="s">
        <v>1006</v>
      </c>
      <c r="D1258" s="33" t="s">
        <v>14</v>
      </c>
      <c r="E1258" s="34">
        <v>742.5</v>
      </c>
      <c r="F1258" s="33" t="s">
        <v>1688</v>
      </c>
    </row>
    <row r="1259" ht="15.75" customHeight="1">
      <c r="A1259" s="33" t="s">
        <v>76</v>
      </c>
      <c r="B1259" s="33" t="s">
        <v>103</v>
      </c>
      <c r="C1259" s="33" t="s">
        <v>103</v>
      </c>
      <c r="D1259" s="33" t="s">
        <v>30</v>
      </c>
      <c r="E1259" s="34">
        <v>5351.5</v>
      </c>
      <c r="F1259" s="33" t="s">
        <v>1689</v>
      </c>
    </row>
    <row r="1260" ht="15.75" customHeight="1">
      <c r="A1260" s="33" t="s">
        <v>76</v>
      </c>
      <c r="B1260" s="33" t="s">
        <v>427</v>
      </c>
      <c r="C1260" s="33" t="s">
        <v>427</v>
      </c>
      <c r="D1260" s="33" t="s">
        <v>14</v>
      </c>
      <c r="E1260" s="34">
        <v>317.0</v>
      </c>
      <c r="F1260" s="33" t="s">
        <v>1690</v>
      </c>
    </row>
    <row r="1261" ht="15.75" customHeight="1">
      <c r="A1261" s="33" t="s">
        <v>76</v>
      </c>
      <c r="B1261" s="33" t="s">
        <v>229</v>
      </c>
      <c r="C1261" s="33" t="s">
        <v>592</v>
      </c>
      <c r="D1261" s="33" t="s">
        <v>14</v>
      </c>
      <c r="E1261" s="34">
        <v>1000.0</v>
      </c>
      <c r="F1261" s="33" t="s">
        <v>1691</v>
      </c>
    </row>
    <row r="1262" ht="15.75" customHeight="1">
      <c r="A1262" s="33" t="s">
        <v>76</v>
      </c>
      <c r="B1262" s="33" t="s">
        <v>120</v>
      </c>
      <c r="C1262" s="33" t="s">
        <v>819</v>
      </c>
      <c r="D1262" s="33" t="s">
        <v>14</v>
      </c>
      <c r="E1262" s="34">
        <v>3170.33</v>
      </c>
      <c r="F1262" s="33" t="s">
        <v>1692</v>
      </c>
    </row>
    <row r="1263" ht="15.75" customHeight="1">
      <c r="A1263" s="33" t="s">
        <v>76</v>
      </c>
      <c r="B1263" s="33" t="s">
        <v>97</v>
      </c>
      <c r="C1263" s="33" t="s">
        <v>650</v>
      </c>
      <c r="D1263" s="33" t="s">
        <v>30</v>
      </c>
      <c r="E1263" s="34">
        <v>3906.0</v>
      </c>
      <c r="F1263" s="33" t="s">
        <v>1693</v>
      </c>
    </row>
    <row r="1264" ht="15.75" customHeight="1">
      <c r="A1264" s="33" t="s">
        <v>76</v>
      </c>
      <c r="B1264" s="33" t="s">
        <v>311</v>
      </c>
      <c r="C1264" s="33" t="s">
        <v>311</v>
      </c>
      <c r="D1264" s="33" t="s">
        <v>14</v>
      </c>
      <c r="E1264" s="34">
        <v>379.62</v>
      </c>
      <c r="F1264" s="33" t="s">
        <v>1694</v>
      </c>
    </row>
    <row r="1265" ht="15.75" customHeight="1">
      <c r="A1265" s="33" t="s">
        <v>76</v>
      </c>
      <c r="B1265" s="33" t="s">
        <v>338</v>
      </c>
      <c r="C1265" s="33" t="s">
        <v>338</v>
      </c>
      <c r="D1265" s="33" t="s">
        <v>16</v>
      </c>
      <c r="E1265" s="34">
        <v>50.0</v>
      </c>
      <c r="F1265" s="33" t="s">
        <v>1695</v>
      </c>
    </row>
    <row r="1266" ht="15.75" customHeight="1">
      <c r="A1266" s="33" t="s">
        <v>76</v>
      </c>
      <c r="B1266" s="33" t="s">
        <v>328</v>
      </c>
      <c r="C1266" s="33" t="s">
        <v>328</v>
      </c>
      <c r="D1266" s="33" t="s">
        <v>36</v>
      </c>
      <c r="E1266" s="34">
        <v>105.97</v>
      </c>
      <c r="F1266" s="33" t="s">
        <v>1696</v>
      </c>
    </row>
    <row r="1267" ht="15.75" customHeight="1">
      <c r="A1267" s="33" t="s">
        <v>76</v>
      </c>
      <c r="B1267" s="33" t="s">
        <v>180</v>
      </c>
      <c r="C1267" s="33" t="s">
        <v>180</v>
      </c>
      <c r="D1267" s="33" t="s">
        <v>36</v>
      </c>
      <c r="E1267" s="34">
        <v>890.13</v>
      </c>
      <c r="F1267" s="33" t="s">
        <v>1697</v>
      </c>
    </row>
    <row r="1268" ht="15.75" customHeight="1">
      <c r="A1268" s="33" t="s">
        <v>76</v>
      </c>
      <c r="B1268" s="33" t="s">
        <v>369</v>
      </c>
      <c r="C1268" s="33" t="s">
        <v>369</v>
      </c>
      <c r="D1268" s="33" t="s">
        <v>36</v>
      </c>
      <c r="E1268" s="34">
        <v>64.73</v>
      </c>
      <c r="F1268" s="33" t="s">
        <v>1698</v>
      </c>
    </row>
    <row r="1269" ht="15.75" customHeight="1">
      <c r="A1269" s="33" t="s">
        <v>76</v>
      </c>
      <c r="B1269" s="33" t="s">
        <v>382</v>
      </c>
      <c r="C1269" s="33" t="s">
        <v>382</v>
      </c>
      <c r="D1269" s="33" t="s">
        <v>36</v>
      </c>
      <c r="E1269" s="34">
        <v>54.11</v>
      </c>
      <c r="F1269" s="33" t="s">
        <v>1699</v>
      </c>
    </row>
    <row r="1270" ht="15.75" customHeight="1">
      <c r="A1270" s="33" t="s">
        <v>76</v>
      </c>
      <c r="B1270" s="33" t="s">
        <v>316</v>
      </c>
      <c r="C1270" s="33" t="s">
        <v>316</v>
      </c>
      <c r="D1270" s="33" t="s">
        <v>20</v>
      </c>
      <c r="E1270" s="34">
        <v>950.0</v>
      </c>
      <c r="F1270" s="33" t="s">
        <v>1700</v>
      </c>
    </row>
    <row r="1271" ht="15.75" customHeight="1">
      <c r="A1271" s="33" t="s">
        <v>76</v>
      </c>
      <c r="B1271" s="33" t="s">
        <v>170</v>
      </c>
      <c r="C1271" s="33" t="s">
        <v>170</v>
      </c>
      <c r="D1271" s="33" t="s">
        <v>14</v>
      </c>
      <c r="E1271" s="34">
        <v>1150.0</v>
      </c>
      <c r="F1271" s="33" t="s">
        <v>1701</v>
      </c>
    </row>
    <row r="1272" ht="15.75" customHeight="1">
      <c r="A1272" s="33" t="s">
        <v>76</v>
      </c>
      <c r="B1272" s="33" t="s">
        <v>507</v>
      </c>
      <c r="C1272" s="33" t="s">
        <v>507</v>
      </c>
      <c r="D1272" s="33" t="s">
        <v>14</v>
      </c>
      <c r="E1272" s="34">
        <v>35.0</v>
      </c>
      <c r="F1272" s="33" t="s">
        <v>1672</v>
      </c>
    </row>
    <row r="1273" ht="15.75" customHeight="1">
      <c r="A1273" s="33" t="s">
        <v>76</v>
      </c>
      <c r="B1273" s="33" t="s">
        <v>212</v>
      </c>
      <c r="C1273" s="33" t="s">
        <v>212</v>
      </c>
      <c r="D1273" s="33" t="s">
        <v>14</v>
      </c>
      <c r="E1273" s="34">
        <v>4500.0</v>
      </c>
      <c r="F1273" s="33" t="s">
        <v>1702</v>
      </c>
    </row>
    <row r="1274" ht="15.75" customHeight="1">
      <c r="A1274" s="33" t="s">
        <v>77</v>
      </c>
      <c r="B1274" s="33" t="s">
        <v>376</v>
      </c>
      <c r="C1274" s="33" t="s">
        <v>376</v>
      </c>
      <c r="D1274" s="33" t="s">
        <v>14</v>
      </c>
      <c r="E1274" s="34">
        <v>374.0</v>
      </c>
      <c r="F1274" s="33" t="s">
        <v>1703</v>
      </c>
    </row>
    <row r="1275" ht="15.75" customHeight="1">
      <c r="A1275" s="33" t="s">
        <v>77</v>
      </c>
      <c r="B1275" s="33" t="s">
        <v>250</v>
      </c>
      <c r="C1275" s="33" t="s">
        <v>250</v>
      </c>
      <c r="D1275" s="33" t="s">
        <v>14</v>
      </c>
      <c r="E1275" s="34">
        <v>150.0</v>
      </c>
      <c r="F1275" s="33" t="s">
        <v>1703</v>
      </c>
    </row>
    <row r="1276" ht="15.75" customHeight="1">
      <c r="A1276" s="33" t="s">
        <v>77</v>
      </c>
      <c r="B1276" s="33" t="s">
        <v>142</v>
      </c>
      <c r="C1276" s="33" t="s">
        <v>142</v>
      </c>
      <c r="D1276" s="33" t="s">
        <v>36</v>
      </c>
      <c r="E1276" s="34">
        <v>2048.63</v>
      </c>
      <c r="F1276" s="33" t="s">
        <v>1704</v>
      </c>
    </row>
    <row r="1277" ht="15.75" customHeight="1">
      <c r="A1277" s="33" t="s">
        <v>77</v>
      </c>
      <c r="B1277" s="33" t="s">
        <v>33</v>
      </c>
      <c r="C1277" s="33" t="s">
        <v>785</v>
      </c>
      <c r="D1277" s="33" t="s">
        <v>22</v>
      </c>
      <c r="E1277" s="34">
        <v>36944.93</v>
      </c>
      <c r="F1277" s="33" t="s">
        <v>1705</v>
      </c>
    </row>
    <row r="1278" ht="15.75" customHeight="1">
      <c r="A1278" s="33" t="s">
        <v>77</v>
      </c>
      <c r="B1278" s="33" t="s">
        <v>397</v>
      </c>
      <c r="C1278" s="33" t="s">
        <v>397</v>
      </c>
      <c r="D1278" s="33" t="s">
        <v>14</v>
      </c>
      <c r="E1278" s="34">
        <v>125.0</v>
      </c>
      <c r="F1278" s="33" t="s">
        <v>1703</v>
      </c>
    </row>
    <row r="1279" ht="15.75" customHeight="1">
      <c r="A1279" s="33" t="s">
        <v>77</v>
      </c>
      <c r="B1279" s="33" t="s">
        <v>31</v>
      </c>
      <c r="C1279" s="33" t="s">
        <v>31</v>
      </c>
      <c r="D1279" s="33" t="s">
        <v>26</v>
      </c>
      <c r="E1279" s="34">
        <v>63814.12</v>
      </c>
      <c r="F1279" s="33" t="s">
        <v>1706</v>
      </c>
    </row>
    <row r="1280" ht="15.75" customHeight="1">
      <c r="A1280" s="33" t="s">
        <v>77</v>
      </c>
      <c r="B1280" s="33" t="s">
        <v>247</v>
      </c>
      <c r="C1280" s="33" t="s">
        <v>961</v>
      </c>
      <c r="D1280" s="33" t="s">
        <v>14</v>
      </c>
      <c r="E1280" s="34">
        <v>286.0</v>
      </c>
      <c r="F1280" s="33" t="s">
        <v>1707</v>
      </c>
    </row>
    <row r="1281" ht="15.75" customHeight="1">
      <c r="A1281" s="33" t="s">
        <v>77</v>
      </c>
      <c r="B1281" s="33" t="s">
        <v>473</v>
      </c>
      <c r="C1281" s="33" t="s">
        <v>473</v>
      </c>
      <c r="D1281" s="33" t="s">
        <v>14</v>
      </c>
      <c r="E1281" s="34">
        <v>100.0</v>
      </c>
      <c r="F1281" s="33" t="s">
        <v>1708</v>
      </c>
    </row>
    <row r="1282" ht="15.75" customHeight="1">
      <c r="A1282" s="33" t="s">
        <v>77</v>
      </c>
      <c r="B1282" s="33" t="s">
        <v>377</v>
      </c>
      <c r="C1282" s="33" t="s">
        <v>377</v>
      </c>
      <c r="D1282" s="33" t="s">
        <v>14</v>
      </c>
      <c r="E1282" s="34">
        <v>374.0</v>
      </c>
      <c r="F1282" s="33" t="s">
        <v>1703</v>
      </c>
    </row>
    <row r="1283" ht="15.75" customHeight="1">
      <c r="A1283" s="33" t="s">
        <v>77</v>
      </c>
      <c r="B1283" s="33" t="s">
        <v>218</v>
      </c>
      <c r="C1283" s="33" t="s">
        <v>553</v>
      </c>
      <c r="D1283" s="33" t="s">
        <v>40</v>
      </c>
      <c r="E1283" s="34">
        <v>381.0</v>
      </c>
      <c r="F1283" s="33" t="s">
        <v>1709</v>
      </c>
    </row>
    <row r="1284" ht="15.75" customHeight="1">
      <c r="A1284" s="33" t="s">
        <v>77</v>
      </c>
      <c r="B1284" s="33" t="s">
        <v>204</v>
      </c>
      <c r="C1284" s="33" t="s">
        <v>1710</v>
      </c>
      <c r="D1284" s="33" t="s">
        <v>14</v>
      </c>
      <c r="E1284" s="34">
        <v>5961.21</v>
      </c>
      <c r="F1284" s="33" t="s">
        <v>1711</v>
      </c>
    </row>
    <row r="1285" ht="15.75" customHeight="1">
      <c r="A1285" s="33" t="s">
        <v>77</v>
      </c>
      <c r="B1285" s="33" t="s">
        <v>98</v>
      </c>
      <c r="C1285" s="33" t="s">
        <v>1483</v>
      </c>
      <c r="D1285" s="33" t="s">
        <v>26</v>
      </c>
      <c r="E1285" s="34">
        <v>19586.6</v>
      </c>
      <c r="F1285" s="33" t="s">
        <v>1712</v>
      </c>
    </row>
    <row r="1286" ht="15.75" customHeight="1">
      <c r="A1286" s="33" t="s">
        <v>77</v>
      </c>
      <c r="B1286" s="33" t="s">
        <v>174</v>
      </c>
      <c r="C1286" s="33" t="s">
        <v>1713</v>
      </c>
      <c r="D1286" s="33" t="s">
        <v>22</v>
      </c>
      <c r="E1286" s="34">
        <v>3860.0</v>
      </c>
      <c r="F1286" s="33" t="s">
        <v>1714</v>
      </c>
    </row>
    <row r="1287" ht="15.75" customHeight="1">
      <c r="A1287" s="33" t="s">
        <v>77</v>
      </c>
      <c r="B1287" s="33" t="s">
        <v>352</v>
      </c>
      <c r="C1287" s="33" t="s">
        <v>1715</v>
      </c>
      <c r="D1287" s="33" t="s">
        <v>14</v>
      </c>
      <c r="E1287" s="34">
        <v>1000.0</v>
      </c>
      <c r="F1287" s="33" t="s">
        <v>1716</v>
      </c>
    </row>
    <row r="1288" ht="15.75" customHeight="1">
      <c r="A1288" s="33" t="s">
        <v>77</v>
      </c>
      <c r="B1288" s="33" t="s">
        <v>136</v>
      </c>
      <c r="C1288" s="33" t="s">
        <v>136</v>
      </c>
      <c r="D1288" s="33" t="s">
        <v>14</v>
      </c>
      <c r="E1288" s="34">
        <v>2435.64</v>
      </c>
      <c r="F1288" s="33" t="s">
        <v>1717</v>
      </c>
    </row>
    <row r="1289" ht="15.75" customHeight="1">
      <c r="A1289" s="33" t="s">
        <v>77</v>
      </c>
      <c r="B1289" s="33" t="s">
        <v>191</v>
      </c>
      <c r="C1289" s="33" t="s">
        <v>191</v>
      </c>
      <c r="D1289" s="33" t="s">
        <v>14</v>
      </c>
      <c r="E1289" s="34">
        <v>1365.0</v>
      </c>
      <c r="F1289" s="33" t="s">
        <v>1718</v>
      </c>
    </row>
    <row r="1290" ht="15.75" customHeight="1">
      <c r="A1290" s="33" t="s">
        <v>77</v>
      </c>
      <c r="B1290" s="33" t="s">
        <v>186</v>
      </c>
      <c r="C1290" s="33" t="s">
        <v>186</v>
      </c>
      <c r="D1290" s="33" t="s">
        <v>18</v>
      </c>
      <c r="E1290" s="34">
        <v>26.02</v>
      </c>
      <c r="F1290" s="33" t="s">
        <v>1719</v>
      </c>
    </row>
    <row r="1291" ht="15.75" customHeight="1">
      <c r="A1291" s="33" t="s">
        <v>77</v>
      </c>
      <c r="B1291" s="33" t="s">
        <v>268</v>
      </c>
      <c r="C1291" s="33" t="s">
        <v>268</v>
      </c>
      <c r="D1291" s="33" t="s">
        <v>14</v>
      </c>
      <c r="E1291" s="34">
        <v>449.96</v>
      </c>
      <c r="F1291" s="33" t="s">
        <v>1720</v>
      </c>
    </row>
    <row r="1292" ht="15.75" customHeight="1">
      <c r="A1292" s="33" t="s">
        <v>77</v>
      </c>
      <c r="B1292" s="33" t="s">
        <v>208</v>
      </c>
      <c r="C1292" s="33" t="s">
        <v>208</v>
      </c>
      <c r="D1292" s="33" t="s">
        <v>14</v>
      </c>
      <c r="E1292" s="34">
        <v>1536.0</v>
      </c>
      <c r="F1292" s="33" t="s">
        <v>1721</v>
      </c>
    </row>
    <row r="1293" ht="15.75" customHeight="1">
      <c r="A1293" s="33" t="s">
        <v>77</v>
      </c>
      <c r="B1293" s="33" t="s">
        <v>364</v>
      </c>
      <c r="C1293" s="33" t="s">
        <v>364</v>
      </c>
      <c r="D1293" s="33" t="s">
        <v>14</v>
      </c>
      <c r="E1293" s="34">
        <v>150.0</v>
      </c>
      <c r="F1293" s="33" t="s">
        <v>1703</v>
      </c>
    </row>
    <row r="1294" ht="15.75" customHeight="1">
      <c r="A1294" s="33" t="s">
        <v>77</v>
      </c>
      <c r="B1294" s="33" t="s">
        <v>219</v>
      </c>
      <c r="C1294" s="33" t="s">
        <v>219</v>
      </c>
      <c r="D1294" s="33" t="s">
        <v>14</v>
      </c>
      <c r="E1294" s="34">
        <v>150.0</v>
      </c>
      <c r="F1294" s="33" t="s">
        <v>1703</v>
      </c>
    </row>
    <row r="1295" ht="15.75" customHeight="1">
      <c r="A1295" s="33" t="s">
        <v>77</v>
      </c>
      <c r="B1295" s="33" t="s">
        <v>408</v>
      </c>
      <c r="C1295" s="33" t="s">
        <v>408</v>
      </c>
      <c r="D1295" s="33" t="s">
        <v>14</v>
      </c>
      <c r="E1295" s="34">
        <v>500.0</v>
      </c>
      <c r="F1295" s="33" t="s">
        <v>1722</v>
      </c>
    </row>
    <row r="1296" ht="15.75" customHeight="1">
      <c r="A1296" s="33" t="s">
        <v>77</v>
      </c>
      <c r="B1296" s="33" t="s">
        <v>298</v>
      </c>
      <c r="C1296" s="33" t="s">
        <v>594</v>
      </c>
      <c r="D1296" s="33" t="s">
        <v>14</v>
      </c>
      <c r="E1296" s="34">
        <v>107.44</v>
      </c>
      <c r="F1296" s="33" t="s">
        <v>1723</v>
      </c>
    </row>
    <row r="1297" ht="15.75" customHeight="1">
      <c r="A1297" s="33" t="s">
        <v>77</v>
      </c>
      <c r="B1297" s="33" t="s">
        <v>161</v>
      </c>
      <c r="C1297" s="33" t="s">
        <v>596</v>
      </c>
      <c r="D1297" s="33" t="s">
        <v>38</v>
      </c>
      <c r="E1297" s="34">
        <v>408.55</v>
      </c>
      <c r="F1297" s="33" t="s">
        <v>1724</v>
      </c>
    </row>
    <row r="1298" ht="15.75" customHeight="1">
      <c r="A1298" s="33" t="s">
        <v>77</v>
      </c>
      <c r="B1298" s="33" t="s">
        <v>253</v>
      </c>
      <c r="C1298" s="33" t="s">
        <v>253</v>
      </c>
      <c r="D1298" s="33" t="s">
        <v>14</v>
      </c>
      <c r="E1298" s="34">
        <v>2282.0</v>
      </c>
      <c r="F1298" s="33" t="s">
        <v>1725</v>
      </c>
    </row>
    <row r="1299" ht="15.75" customHeight="1">
      <c r="A1299" s="33" t="s">
        <v>77</v>
      </c>
      <c r="B1299" s="33" t="s">
        <v>292</v>
      </c>
      <c r="C1299" s="33" t="s">
        <v>292</v>
      </c>
      <c r="D1299" s="33" t="s">
        <v>18</v>
      </c>
      <c r="E1299" s="34">
        <v>231.05</v>
      </c>
      <c r="F1299" s="33" t="s">
        <v>1726</v>
      </c>
    </row>
    <row r="1300" ht="15.75" customHeight="1">
      <c r="A1300" s="33" t="s">
        <v>77</v>
      </c>
      <c r="B1300" s="33" t="s">
        <v>328</v>
      </c>
      <c r="C1300" s="33" t="s">
        <v>328</v>
      </c>
      <c r="D1300" s="33" t="s">
        <v>36</v>
      </c>
      <c r="E1300" s="34">
        <v>107.37</v>
      </c>
      <c r="F1300" s="33" t="s">
        <v>1727</v>
      </c>
    </row>
    <row r="1301" ht="15.75" customHeight="1">
      <c r="A1301" s="33" t="s">
        <v>77</v>
      </c>
      <c r="B1301" s="33" t="s">
        <v>243</v>
      </c>
      <c r="C1301" s="33" t="s">
        <v>243</v>
      </c>
      <c r="D1301" s="33" t="s">
        <v>14</v>
      </c>
      <c r="E1301" s="34">
        <v>425.76</v>
      </c>
      <c r="F1301" s="33" t="s">
        <v>1728</v>
      </c>
    </row>
    <row r="1302" ht="15.75" customHeight="1">
      <c r="A1302" s="33" t="s">
        <v>77</v>
      </c>
      <c r="B1302" s="33" t="s">
        <v>246</v>
      </c>
      <c r="C1302" s="33" t="s">
        <v>246</v>
      </c>
      <c r="D1302" s="33" t="s">
        <v>42</v>
      </c>
      <c r="E1302" s="34">
        <v>230.0</v>
      </c>
      <c r="F1302" s="33" t="s">
        <v>1729</v>
      </c>
    </row>
    <row r="1303" ht="15.75" customHeight="1">
      <c r="A1303" s="33" t="s">
        <v>77</v>
      </c>
      <c r="B1303" s="33" t="s">
        <v>350</v>
      </c>
      <c r="C1303" s="33" t="s">
        <v>350</v>
      </c>
      <c r="D1303" s="33" t="s">
        <v>14</v>
      </c>
      <c r="E1303" s="34">
        <v>224.36</v>
      </c>
      <c r="F1303" s="33" t="s">
        <v>1730</v>
      </c>
    </row>
    <row r="1304" ht="15.75" customHeight="1">
      <c r="A1304" s="33" t="s">
        <v>77</v>
      </c>
      <c r="B1304" s="33" t="s">
        <v>203</v>
      </c>
      <c r="C1304" s="33" t="s">
        <v>1731</v>
      </c>
      <c r="D1304" s="33" t="s">
        <v>14</v>
      </c>
      <c r="E1304" s="34">
        <v>9000.0</v>
      </c>
      <c r="F1304" s="33" t="s">
        <v>1732</v>
      </c>
    </row>
    <row r="1305" ht="15.75" customHeight="1">
      <c r="A1305" s="33" t="s">
        <v>77</v>
      </c>
      <c r="B1305" s="33" t="s">
        <v>248</v>
      </c>
      <c r="C1305" s="33" t="s">
        <v>248</v>
      </c>
      <c r="D1305" s="33" t="s">
        <v>14</v>
      </c>
      <c r="E1305" s="34">
        <v>1821.42</v>
      </c>
      <c r="F1305" s="33" t="s">
        <v>1733</v>
      </c>
    </row>
    <row r="1306" ht="15.75" customHeight="1">
      <c r="A1306" s="33" t="s">
        <v>77</v>
      </c>
      <c r="B1306" s="33" t="s">
        <v>218</v>
      </c>
      <c r="C1306" s="33" t="s">
        <v>553</v>
      </c>
      <c r="D1306" s="33" t="s">
        <v>40</v>
      </c>
      <c r="E1306" s="34">
        <v>144.0</v>
      </c>
      <c r="F1306" s="33" t="s">
        <v>1734</v>
      </c>
    </row>
    <row r="1307" ht="15.75" customHeight="1">
      <c r="A1307" s="33" t="s">
        <v>77</v>
      </c>
      <c r="B1307" s="33" t="s">
        <v>146</v>
      </c>
      <c r="C1307" s="33" t="s">
        <v>1056</v>
      </c>
      <c r="D1307" s="33" t="s">
        <v>18</v>
      </c>
      <c r="E1307" s="34">
        <v>34.19</v>
      </c>
      <c r="F1307" s="33" t="s">
        <v>1735</v>
      </c>
    </row>
    <row r="1308" ht="15.75" customHeight="1">
      <c r="A1308" s="33" t="s">
        <v>77</v>
      </c>
      <c r="B1308" s="33" t="s">
        <v>196</v>
      </c>
      <c r="C1308" s="33" t="s">
        <v>196</v>
      </c>
      <c r="D1308" s="33" t="s">
        <v>30</v>
      </c>
      <c r="E1308" s="34">
        <v>272.44</v>
      </c>
      <c r="F1308" s="33" t="s">
        <v>1736</v>
      </c>
    </row>
    <row r="1309" ht="15.75" customHeight="1">
      <c r="A1309" s="33" t="s">
        <v>77</v>
      </c>
      <c r="B1309" s="33" t="s">
        <v>96</v>
      </c>
      <c r="C1309" s="33" t="s">
        <v>925</v>
      </c>
      <c r="D1309" s="33" t="s">
        <v>20</v>
      </c>
      <c r="E1309" s="34">
        <v>2829.75</v>
      </c>
      <c r="F1309" s="33" t="s">
        <v>1737</v>
      </c>
    </row>
    <row r="1310" ht="15.75" customHeight="1">
      <c r="A1310" s="33" t="s">
        <v>77</v>
      </c>
      <c r="B1310" s="33" t="s">
        <v>93</v>
      </c>
      <c r="C1310" s="33" t="s">
        <v>93</v>
      </c>
      <c r="D1310" s="33" t="s">
        <v>16</v>
      </c>
      <c r="E1310" s="34">
        <v>488.0</v>
      </c>
      <c r="F1310" s="33" t="s">
        <v>1738</v>
      </c>
    </row>
    <row r="1311" ht="15.75" customHeight="1">
      <c r="A1311" s="33" t="s">
        <v>77</v>
      </c>
      <c r="B1311" s="33" t="s">
        <v>237</v>
      </c>
      <c r="C1311" s="33" t="s">
        <v>896</v>
      </c>
      <c r="D1311" s="33" t="s">
        <v>14</v>
      </c>
      <c r="E1311" s="34">
        <v>1411.25</v>
      </c>
      <c r="F1311" s="33" t="s">
        <v>1739</v>
      </c>
    </row>
    <row r="1312" ht="15.75" customHeight="1">
      <c r="A1312" s="33" t="s">
        <v>77</v>
      </c>
      <c r="B1312" s="33" t="s">
        <v>161</v>
      </c>
      <c r="C1312" s="33" t="s">
        <v>596</v>
      </c>
      <c r="D1312" s="33" t="s">
        <v>38</v>
      </c>
      <c r="E1312" s="34">
        <v>351.65</v>
      </c>
      <c r="F1312" s="33" t="s">
        <v>1740</v>
      </c>
    </row>
    <row r="1313" ht="15.75" customHeight="1">
      <c r="A1313" s="33" t="s">
        <v>77</v>
      </c>
      <c r="B1313" s="33" t="s">
        <v>163</v>
      </c>
      <c r="C1313" s="33" t="s">
        <v>163</v>
      </c>
      <c r="D1313" s="33" t="s">
        <v>14</v>
      </c>
      <c r="E1313" s="34">
        <v>1015.84</v>
      </c>
      <c r="F1313" s="33" t="s">
        <v>1741</v>
      </c>
    </row>
    <row r="1314" ht="15.75" customHeight="1">
      <c r="A1314" s="33" t="s">
        <v>77</v>
      </c>
      <c r="B1314" s="33" t="s">
        <v>246</v>
      </c>
      <c r="C1314" s="33" t="s">
        <v>246</v>
      </c>
      <c r="D1314" s="33" t="s">
        <v>42</v>
      </c>
      <c r="E1314" s="34">
        <v>320.0</v>
      </c>
      <c r="F1314" s="33" t="s">
        <v>1742</v>
      </c>
    </row>
    <row r="1315" ht="15.75" customHeight="1">
      <c r="A1315" s="33" t="s">
        <v>78</v>
      </c>
      <c r="B1315" s="33" t="s">
        <v>132</v>
      </c>
      <c r="C1315" s="33" t="s">
        <v>132</v>
      </c>
      <c r="D1315" s="33" t="s">
        <v>30</v>
      </c>
      <c r="E1315" s="34">
        <v>4080.0</v>
      </c>
      <c r="F1315" s="33" t="s">
        <v>1743</v>
      </c>
    </row>
    <row r="1316" ht="15.75" customHeight="1">
      <c r="A1316" s="33" t="s">
        <v>78</v>
      </c>
      <c r="B1316" s="33" t="s">
        <v>269</v>
      </c>
      <c r="C1316" s="33" t="s">
        <v>856</v>
      </c>
      <c r="D1316" s="33" t="s">
        <v>14</v>
      </c>
      <c r="E1316" s="34">
        <v>595.0</v>
      </c>
      <c r="F1316" s="33" t="s">
        <v>1744</v>
      </c>
    </row>
    <row r="1317" ht="15.75" customHeight="1">
      <c r="A1317" s="33" t="s">
        <v>78</v>
      </c>
      <c r="B1317" s="33" t="s">
        <v>222</v>
      </c>
      <c r="C1317" s="33" t="s">
        <v>664</v>
      </c>
      <c r="D1317" s="33" t="s">
        <v>38</v>
      </c>
      <c r="E1317" s="34">
        <v>581.46</v>
      </c>
      <c r="F1317" s="33" t="s">
        <v>1745</v>
      </c>
    </row>
    <row r="1318" ht="15.75" customHeight="1">
      <c r="A1318" s="33" t="s">
        <v>78</v>
      </c>
      <c r="B1318" s="33" t="s">
        <v>183</v>
      </c>
      <c r="C1318" s="33" t="s">
        <v>183</v>
      </c>
      <c r="D1318" s="33" t="s">
        <v>16</v>
      </c>
      <c r="E1318" s="34">
        <v>1252.82</v>
      </c>
      <c r="F1318" s="33" t="s">
        <v>610</v>
      </c>
    </row>
    <row r="1319" ht="15.75" customHeight="1">
      <c r="A1319" s="33" t="s">
        <v>78</v>
      </c>
      <c r="B1319" s="33" t="s">
        <v>138</v>
      </c>
      <c r="C1319" s="33" t="s">
        <v>527</v>
      </c>
      <c r="D1319" s="33" t="s">
        <v>18</v>
      </c>
      <c r="E1319" s="34">
        <v>4505.0</v>
      </c>
      <c r="F1319" s="33" t="s">
        <v>1746</v>
      </c>
    </row>
    <row r="1320" ht="15.75" customHeight="1">
      <c r="A1320" s="33" t="s">
        <v>78</v>
      </c>
      <c r="B1320" s="33" t="s">
        <v>122</v>
      </c>
      <c r="C1320" s="33" t="s">
        <v>529</v>
      </c>
      <c r="D1320" s="33" t="s">
        <v>20</v>
      </c>
      <c r="E1320" s="34">
        <v>811.6</v>
      </c>
      <c r="F1320" s="33" t="s">
        <v>1747</v>
      </c>
    </row>
    <row r="1321" ht="15.75" customHeight="1">
      <c r="A1321" s="33" t="s">
        <v>78</v>
      </c>
      <c r="B1321" s="33" t="s">
        <v>216</v>
      </c>
      <c r="C1321" s="33" t="s">
        <v>216</v>
      </c>
      <c r="D1321" s="33" t="s">
        <v>14</v>
      </c>
      <c r="E1321" s="34">
        <v>4644.87</v>
      </c>
      <c r="F1321" s="33" t="s">
        <v>1748</v>
      </c>
    </row>
    <row r="1322" ht="15.75" customHeight="1">
      <c r="A1322" s="33" t="s">
        <v>78</v>
      </c>
      <c r="B1322" s="33" t="s">
        <v>110</v>
      </c>
      <c r="C1322" s="33" t="s">
        <v>110</v>
      </c>
      <c r="D1322" s="33" t="s">
        <v>36</v>
      </c>
      <c r="E1322" s="34">
        <v>5099.5</v>
      </c>
      <c r="F1322" s="33" t="s">
        <v>1749</v>
      </c>
    </row>
    <row r="1323" ht="15.75" customHeight="1">
      <c r="A1323" s="33" t="s">
        <v>78</v>
      </c>
      <c r="B1323" s="33" t="s">
        <v>17</v>
      </c>
      <c r="C1323" s="33" t="s">
        <v>534</v>
      </c>
      <c r="D1323" s="33" t="s">
        <v>18</v>
      </c>
      <c r="E1323" s="34">
        <v>623952.0</v>
      </c>
      <c r="F1323" s="33" t="s">
        <v>1750</v>
      </c>
    </row>
    <row r="1324" ht="15.75" customHeight="1">
      <c r="A1324" s="33" t="s">
        <v>78</v>
      </c>
      <c r="B1324" s="33" t="s">
        <v>283</v>
      </c>
      <c r="C1324" s="33" t="s">
        <v>1751</v>
      </c>
      <c r="D1324" s="33" t="s">
        <v>14</v>
      </c>
      <c r="E1324" s="34">
        <v>200.0</v>
      </c>
      <c r="F1324" s="33" t="s">
        <v>1752</v>
      </c>
    </row>
    <row r="1325" ht="15.75" customHeight="1">
      <c r="A1325" s="33" t="s">
        <v>78</v>
      </c>
      <c r="B1325" s="33" t="s">
        <v>102</v>
      </c>
      <c r="C1325" s="33" t="s">
        <v>615</v>
      </c>
      <c r="D1325" s="33" t="s">
        <v>14</v>
      </c>
      <c r="E1325" s="34">
        <v>11000.0</v>
      </c>
      <c r="F1325" s="33" t="s">
        <v>1753</v>
      </c>
    </row>
    <row r="1326" ht="15.75" customHeight="1">
      <c r="A1326" s="33" t="s">
        <v>78</v>
      </c>
      <c r="B1326" s="33" t="s">
        <v>312</v>
      </c>
      <c r="C1326" s="33" t="s">
        <v>831</v>
      </c>
      <c r="D1326" s="33" t="s">
        <v>38</v>
      </c>
      <c r="E1326" s="34">
        <v>55.0</v>
      </c>
      <c r="F1326" s="33" t="s">
        <v>1754</v>
      </c>
    </row>
    <row r="1327" ht="15.75" customHeight="1">
      <c r="A1327" s="33" t="s">
        <v>78</v>
      </c>
      <c r="B1327" s="33" t="s">
        <v>453</v>
      </c>
      <c r="C1327" s="33" t="s">
        <v>453</v>
      </c>
      <c r="D1327" s="33" t="s">
        <v>14</v>
      </c>
      <c r="E1327" s="34">
        <v>190.8</v>
      </c>
      <c r="F1327" s="33" t="s">
        <v>1755</v>
      </c>
    </row>
    <row r="1328" ht="15.75" customHeight="1">
      <c r="A1328" s="33" t="s">
        <v>78</v>
      </c>
      <c r="B1328" s="33" t="s">
        <v>256</v>
      </c>
      <c r="C1328" s="33" t="s">
        <v>792</v>
      </c>
      <c r="D1328" s="33" t="s">
        <v>14</v>
      </c>
      <c r="E1328" s="34">
        <v>1155.0</v>
      </c>
      <c r="F1328" s="33" t="s">
        <v>793</v>
      </c>
    </row>
    <row r="1329" ht="15.75" customHeight="1">
      <c r="A1329" s="33" t="s">
        <v>78</v>
      </c>
      <c r="B1329" s="33" t="s">
        <v>90</v>
      </c>
      <c r="C1329" s="33" t="s">
        <v>536</v>
      </c>
      <c r="D1329" s="33" t="s">
        <v>18</v>
      </c>
      <c r="E1329" s="34">
        <v>1545.88</v>
      </c>
      <c r="F1329" s="33" t="s">
        <v>1756</v>
      </c>
    </row>
    <row r="1330" ht="15.75" customHeight="1">
      <c r="A1330" s="33" t="s">
        <v>78</v>
      </c>
      <c r="B1330" s="33" t="s">
        <v>113</v>
      </c>
      <c r="C1330" s="33" t="s">
        <v>540</v>
      </c>
      <c r="D1330" s="33" t="s">
        <v>14</v>
      </c>
      <c r="E1330" s="34">
        <v>1940.11</v>
      </c>
      <c r="F1330" s="33" t="s">
        <v>1757</v>
      </c>
    </row>
    <row r="1331" ht="15.75" customHeight="1">
      <c r="A1331" s="33" t="s">
        <v>78</v>
      </c>
      <c r="B1331" s="33" t="s">
        <v>291</v>
      </c>
      <c r="C1331" s="33" t="s">
        <v>291</v>
      </c>
      <c r="D1331" s="33" t="s">
        <v>38</v>
      </c>
      <c r="E1331" s="34">
        <v>144.84</v>
      </c>
      <c r="F1331" s="33" t="s">
        <v>1758</v>
      </c>
    </row>
    <row r="1332" ht="15.75" customHeight="1">
      <c r="A1332" s="33" t="s">
        <v>78</v>
      </c>
      <c r="B1332" s="33" t="s">
        <v>214</v>
      </c>
      <c r="C1332" s="33" t="s">
        <v>214</v>
      </c>
      <c r="D1332" s="33" t="s">
        <v>14</v>
      </c>
      <c r="E1332" s="34">
        <v>468.0</v>
      </c>
      <c r="F1332" s="33" t="s">
        <v>624</v>
      </c>
    </row>
    <row r="1333" ht="15.75" customHeight="1">
      <c r="A1333" s="33" t="s">
        <v>78</v>
      </c>
      <c r="B1333" s="33" t="s">
        <v>127</v>
      </c>
      <c r="C1333" s="33" t="s">
        <v>127</v>
      </c>
      <c r="D1333" s="33" t="s">
        <v>36</v>
      </c>
      <c r="E1333" s="34">
        <v>1789.59</v>
      </c>
      <c r="F1333" s="33" t="s">
        <v>1759</v>
      </c>
    </row>
    <row r="1334" ht="15.75" customHeight="1">
      <c r="A1334" s="33" t="s">
        <v>78</v>
      </c>
      <c r="B1334" s="33" t="s">
        <v>21</v>
      </c>
      <c r="C1334" s="33" t="s">
        <v>21</v>
      </c>
      <c r="D1334" s="33" t="s">
        <v>16</v>
      </c>
      <c r="E1334" s="34">
        <v>97051.65</v>
      </c>
      <c r="F1334" s="33" t="s">
        <v>1760</v>
      </c>
    </row>
    <row r="1335" ht="15.75" customHeight="1">
      <c r="A1335" s="33" t="s">
        <v>78</v>
      </c>
      <c r="B1335" s="33" t="s">
        <v>33</v>
      </c>
      <c r="C1335" s="33" t="s">
        <v>785</v>
      </c>
      <c r="D1335" s="33" t="s">
        <v>22</v>
      </c>
      <c r="E1335" s="34">
        <v>12707.24</v>
      </c>
      <c r="F1335" s="33" t="s">
        <v>1761</v>
      </c>
    </row>
    <row r="1336" ht="15.75" customHeight="1">
      <c r="A1336" s="33" t="s">
        <v>78</v>
      </c>
      <c r="B1336" s="33" t="s">
        <v>421</v>
      </c>
      <c r="C1336" s="33" t="s">
        <v>421</v>
      </c>
      <c r="D1336" s="33" t="s">
        <v>14</v>
      </c>
      <c r="E1336" s="34">
        <v>396.0</v>
      </c>
      <c r="F1336" s="33" t="s">
        <v>1762</v>
      </c>
    </row>
    <row r="1337" ht="15.75" customHeight="1">
      <c r="A1337" s="33" t="s">
        <v>78</v>
      </c>
      <c r="B1337" s="33" t="s">
        <v>329</v>
      </c>
      <c r="C1337" s="33" t="s">
        <v>329</v>
      </c>
      <c r="D1337" s="33" t="s">
        <v>14</v>
      </c>
      <c r="E1337" s="34">
        <v>133.0</v>
      </c>
      <c r="F1337" s="33" t="s">
        <v>648</v>
      </c>
    </row>
    <row r="1338" ht="15.75" customHeight="1">
      <c r="A1338" s="33" t="s">
        <v>78</v>
      </c>
      <c r="B1338" s="33" t="s">
        <v>462</v>
      </c>
      <c r="C1338" s="33" t="s">
        <v>1763</v>
      </c>
      <c r="D1338" s="33" t="s">
        <v>14</v>
      </c>
      <c r="E1338" s="34">
        <v>155.0</v>
      </c>
      <c r="F1338" s="33" t="s">
        <v>950</v>
      </c>
    </row>
    <row r="1339" ht="15.75" customHeight="1">
      <c r="A1339" s="33" t="s">
        <v>78</v>
      </c>
      <c r="B1339" s="33" t="s">
        <v>100</v>
      </c>
      <c r="C1339" s="33" t="s">
        <v>626</v>
      </c>
      <c r="D1339" s="33" t="s">
        <v>22</v>
      </c>
      <c r="E1339" s="34">
        <v>4600.0</v>
      </c>
      <c r="F1339" s="33" t="s">
        <v>1764</v>
      </c>
    </row>
    <row r="1340" ht="15.75" customHeight="1">
      <c r="A1340" s="33" t="s">
        <v>78</v>
      </c>
      <c r="B1340" s="33" t="s">
        <v>351</v>
      </c>
      <c r="C1340" s="33" t="s">
        <v>351</v>
      </c>
      <c r="D1340" s="33" t="s">
        <v>38</v>
      </c>
      <c r="E1340" s="34">
        <v>96.33</v>
      </c>
      <c r="F1340" s="33" t="s">
        <v>738</v>
      </c>
    </row>
    <row r="1341" ht="15.75" customHeight="1">
      <c r="A1341" s="33" t="s">
        <v>78</v>
      </c>
      <c r="B1341" s="33" t="s">
        <v>150</v>
      </c>
      <c r="C1341" s="33" t="s">
        <v>551</v>
      </c>
      <c r="D1341" s="33" t="s">
        <v>26</v>
      </c>
      <c r="E1341" s="34">
        <v>1570.0</v>
      </c>
      <c r="F1341" s="33" t="s">
        <v>1765</v>
      </c>
    </row>
    <row r="1342" ht="15.75" customHeight="1">
      <c r="A1342" s="33" t="s">
        <v>78</v>
      </c>
      <c r="B1342" s="33" t="s">
        <v>218</v>
      </c>
      <c r="C1342" s="33" t="s">
        <v>553</v>
      </c>
      <c r="D1342" s="33" t="s">
        <v>40</v>
      </c>
      <c r="E1342" s="34">
        <v>144.0</v>
      </c>
      <c r="F1342" s="33" t="s">
        <v>1766</v>
      </c>
    </row>
    <row r="1343" ht="15.75" customHeight="1">
      <c r="A1343" s="33" t="s">
        <v>78</v>
      </c>
      <c r="B1343" s="33" t="s">
        <v>146</v>
      </c>
      <c r="C1343" s="33" t="s">
        <v>1056</v>
      </c>
      <c r="D1343" s="33" t="s">
        <v>18</v>
      </c>
      <c r="E1343" s="34">
        <v>745.87</v>
      </c>
      <c r="F1343" s="33" t="s">
        <v>1767</v>
      </c>
    </row>
    <row r="1344" ht="15.75" customHeight="1">
      <c r="A1344" s="33" t="s">
        <v>78</v>
      </c>
      <c r="B1344" s="33" t="s">
        <v>204</v>
      </c>
      <c r="C1344" s="33" t="s">
        <v>1710</v>
      </c>
      <c r="D1344" s="33" t="s">
        <v>14</v>
      </c>
      <c r="E1344" s="34">
        <v>2744.63</v>
      </c>
      <c r="F1344" s="33" t="s">
        <v>1768</v>
      </c>
    </row>
    <row r="1345" ht="15.75" customHeight="1">
      <c r="A1345" s="33" t="s">
        <v>78</v>
      </c>
      <c r="B1345" s="33" t="s">
        <v>196</v>
      </c>
      <c r="C1345" s="33" t="s">
        <v>196</v>
      </c>
      <c r="D1345" s="33" t="s">
        <v>30</v>
      </c>
      <c r="E1345" s="34">
        <v>530.64</v>
      </c>
      <c r="F1345" s="33" t="s">
        <v>1769</v>
      </c>
    </row>
    <row r="1346" ht="15.75" customHeight="1">
      <c r="A1346" s="33" t="s">
        <v>78</v>
      </c>
      <c r="B1346" s="33" t="s">
        <v>98</v>
      </c>
      <c r="C1346" s="33" t="s">
        <v>1483</v>
      </c>
      <c r="D1346" s="33" t="s">
        <v>26</v>
      </c>
      <c r="E1346" s="34">
        <v>9480.0</v>
      </c>
      <c r="F1346" s="33" t="s">
        <v>1770</v>
      </c>
    </row>
    <row r="1347" ht="15.75" customHeight="1">
      <c r="A1347" s="33" t="s">
        <v>78</v>
      </c>
      <c r="B1347" s="33" t="s">
        <v>35</v>
      </c>
      <c r="C1347" s="33" t="s">
        <v>35</v>
      </c>
      <c r="D1347" s="33" t="s">
        <v>22</v>
      </c>
      <c r="E1347" s="34">
        <v>24257.5</v>
      </c>
      <c r="F1347" s="33" t="s">
        <v>1377</v>
      </c>
    </row>
    <row r="1348" ht="15.75" customHeight="1">
      <c r="A1348" s="33" t="s">
        <v>78</v>
      </c>
      <c r="B1348" s="33" t="s">
        <v>96</v>
      </c>
      <c r="C1348" s="33" t="s">
        <v>925</v>
      </c>
      <c r="D1348" s="33" t="s">
        <v>20</v>
      </c>
      <c r="E1348" s="34">
        <v>3507.35</v>
      </c>
      <c r="F1348" s="33" t="s">
        <v>1433</v>
      </c>
    </row>
    <row r="1349" ht="15.75" customHeight="1">
      <c r="A1349" s="33" t="s">
        <v>78</v>
      </c>
      <c r="B1349" s="33" t="s">
        <v>171</v>
      </c>
      <c r="C1349" s="33" t="s">
        <v>171</v>
      </c>
      <c r="D1349" s="33" t="s">
        <v>14</v>
      </c>
      <c r="E1349" s="34">
        <v>8000.0</v>
      </c>
      <c r="F1349" s="33" t="s">
        <v>1771</v>
      </c>
    </row>
    <row r="1350" ht="15.75" customHeight="1">
      <c r="A1350" s="33" t="s">
        <v>78</v>
      </c>
      <c r="B1350" s="33" t="s">
        <v>145</v>
      </c>
      <c r="C1350" s="33" t="s">
        <v>564</v>
      </c>
      <c r="D1350" s="33" t="s">
        <v>14</v>
      </c>
      <c r="E1350" s="34">
        <v>600.0</v>
      </c>
      <c r="F1350" s="33" t="s">
        <v>1772</v>
      </c>
    </row>
    <row r="1351" ht="15.75" customHeight="1">
      <c r="A1351" s="33" t="s">
        <v>78</v>
      </c>
      <c r="B1351" s="33" t="s">
        <v>181</v>
      </c>
      <c r="C1351" s="33" t="s">
        <v>1773</v>
      </c>
      <c r="D1351" s="33" t="s">
        <v>14</v>
      </c>
      <c r="E1351" s="34">
        <v>11440.0</v>
      </c>
      <c r="F1351" s="33" t="s">
        <v>1774</v>
      </c>
    </row>
    <row r="1352" ht="15.75" customHeight="1">
      <c r="A1352" s="33" t="s">
        <v>78</v>
      </c>
      <c r="B1352" s="33" t="s">
        <v>443</v>
      </c>
      <c r="C1352" s="33" t="s">
        <v>443</v>
      </c>
      <c r="D1352" s="33" t="s">
        <v>14</v>
      </c>
      <c r="E1352" s="34">
        <v>98.41</v>
      </c>
      <c r="F1352" s="33" t="s">
        <v>1775</v>
      </c>
    </row>
    <row r="1353" ht="15.75" customHeight="1">
      <c r="A1353" s="33" t="s">
        <v>78</v>
      </c>
      <c r="B1353" s="33" t="s">
        <v>446</v>
      </c>
      <c r="C1353" s="33" t="s">
        <v>446</v>
      </c>
      <c r="D1353" s="33" t="s">
        <v>14</v>
      </c>
      <c r="E1353" s="34">
        <v>15.95</v>
      </c>
      <c r="F1353" s="33" t="s">
        <v>1776</v>
      </c>
    </row>
    <row r="1354" ht="15.75" customHeight="1">
      <c r="A1354" s="33" t="s">
        <v>78</v>
      </c>
      <c r="B1354" s="33" t="s">
        <v>93</v>
      </c>
      <c r="C1354" s="33" t="s">
        <v>93</v>
      </c>
      <c r="D1354" s="33" t="s">
        <v>16</v>
      </c>
      <c r="E1354" s="34">
        <v>455.0</v>
      </c>
      <c r="F1354" s="33" t="s">
        <v>1777</v>
      </c>
    </row>
    <row r="1355" ht="15.75" customHeight="1">
      <c r="A1355" s="33" t="s">
        <v>78</v>
      </c>
      <c r="B1355" s="33" t="s">
        <v>265</v>
      </c>
      <c r="C1355" s="33" t="s">
        <v>1778</v>
      </c>
      <c r="D1355" s="33" t="s">
        <v>14</v>
      </c>
      <c r="E1355" s="34">
        <v>3695.0</v>
      </c>
      <c r="F1355" s="33" t="s">
        <v>1779</v>
      </c>
    </row>
    <row r="1356" ht="15.75" customHeight="1">
      <c r="A1356" s="33" t="s">
        <v>78</v>
      </c>
      <c r="B1356" s="33" t="s">
        <v>396</v>
      </c>
      <c r="C1356" s="33" t="s">
        <v>396</v>
      </c>
      <c r="D1356" s="33" t="s">
        <v>14</v>
      </c>
      <c r="E1356" s="34">
        <v>68.0</v>
      </c>
      <c r="F1356" s="33" t="s">
        <v>1780</v>
      </c>
    </row>
    <row r="1357" ht="15.75" customHeight="1">
      <c r="A1357" s="33" t="s">
        <v>78</v>
      </c>
      <c r="B1357" s="33" t="s">
        <v>191</v>
      </c>
      <c r="C1357" s="33" t="s">
        <v>191</v>
      </c>
      <c r="D1357" s="33" t="s">
        <v>14</v>
      </c>
      <c r="E1357" s="34">
        <v>140.0</v>
      </c>
      <c r="F1357" s="33" t="s">
        <v>933</v>
      </c>
    </row>
    <row r="1358" ht="15.75" customHeight="1">
      <c r="A1358" s="33" t="s">
        <v>78</v>
      </c>
      <c r="B1358" s="33" t="s">
        <v>186</v>
      </c>
      <c r="C1358" s="33" t="s">
        <v>186</v>
      </c>
      <c r="D1358" s="33" t="s">
        <v>18</v>
      </c>
      <c r="E1358" s="34">
        <v>165.24</v>
      </c>
      <c r="F1358" s="33" t="s">
        <v>1781</v>
      </c>
    </row>
    <row r="1359" ht="15.75" customHeight="1">
      <c r="A1359" s="33" t="s">
        <v>78</v>
      </c>
      <c r="B1359" s="33" t="s">
        <v>99</v>
      </c>
      <c r="C1359" s="33" t="s">
        <v>99</v>
      </c>
      <c r="D1359" s="33" t="s">
        <v>16</v>
      </c>
      <c r="E1359" s="34">
        <v>4675.0</v>
      </c>
      <c r="F1359" s="33" t="s">
        <v>1782</v>
      </c>
    </row>
    <row r="1360" ht="15.75" customHeight="1">
      <c r="A1360" s="33" t="s">
        <v>78</v>
      </c>
      <c r="B1360" s="33" t="s">
        <v>15</v>
      </c>
      <c r="C1360" s="33" t="s">
        <v>15</v>
      </c>
      <c r="D1360" s="33" t="s">
        <v>20</v>
      </c>
      <c r="E1360" s="34">
        <v>332094.76</v>
      </c>
      <c r="F1360" s="33" t="s">
        <v>749</v>
      </c>
    </row>
    <row r="1361" ht="15.75" customHeight="1">
      <c r="A1361" s="33" t="s">
        <v>78</v>
      </c>
      <c r="B1361" s="33" t="s">
        <v>353</v>
      </c>
      <c r="C1361" s="33" t="s">
        <v>353</v>
      </c>
      <c r="D1361" s="33" t="s">
        <v>14</v>
      </c>
      <c r="E1361" s="34">
        <v>1000.0</v>
      </c>
      <c r="F1361" s="33" t="s">
        <v>1783</v>
      </c>
    </row>
    <row r="1362" ht="15.75" customHeight="1">
      <c r="A1362" s="33" t="s">
        <v>78</v>
      </c>
      <c r="B1362" s="33" t="s">
        <v>454</v>
      </c>
      <c r="C1362" s="33" t="s">
        <v>454</v>
      </c>
      <c r="D1362" s="33" t="s">
        <v>14</v>
      </c>
      <c r="E1362" s="34">
        <v>68.0</v>
      </c>
      <c r="F1362" s="33" t="s">
        <v>1780</v>
      </c>
    </row>
    <row r="1363" ht="15.75" customHeight="1">
      <c r="A1363" s="33" t="s">
        <v>78</v>
      </c>
      <c r="B1363" s="33" t="s">
        <v>294</v>
      </c>
      <c r="C1363" s="33" t="s">
        <v>638</v>
      </c>
      <c r="D1363" s="33" t="s">
        <v>14</v>
      </c>
      <c r="E1363" s="34">
        <v>263.24</v>
      </c>
      <c r="F1363" s="33" t="s">
        <v>1784</v>
      </c>
    </row>
    <row r="1364" ht="15.75" customHeight="1">
      <c r="A1364" s="33" t="s">
        <v>78</v>
      </c>
      <c r="B1364" s="33" t="s">
        <v>384</v>
      </c>
      <c r="C1364" s="33" t="s">
        <v>640</v>
      </c>
      <c r="D1364" s="33" t="s">
        <v>14</v>
      </c>
      <c r="E1364" s="34">
        <v>33.0</v>
      </c>
      <c r="F1364" s="33" t="s">
        <v>1785</v>
      </c>
    </row>
    <row r="1365" ht="15.75" customHeight="1">
      <c r="A1365" s="33" t="s">
        <v>78</v>
      </c>
      <c r="B1365" s="33" t="s">
        <v>286</v>
      </c>
      <c r="C1365" s="33" t="s">
        <v>579</v>
      </c>
      <c r="D1365" s="33" t="s">
        <v>14</v>
      </c>
      <c r="E1365" s="34">
        <v>1367.0</v>
      </c>
      <c r="F1365" s="33" t="s">
        <v>1786</v>
      </c>
    </row>
    <row r="1366" ht="15.75" customHeight="1">
      <c r="A1366" s="33" t="s">
        <v>78</v>
      </c>
      <c r="B1366" s="33" t="s">
        <v>144</v>
      </c>
      <c r="C1366" s="33" t="s">
        <v>144</v>
      </c>
      <c r="D1366" s="33" t="s">
        <v>18</v>
      </c>
      <c r="E1366" s="34">
        <v>4190.11</v>
      </c>
      <c r="F1366" s="33" t="s">
        <v>644</v>
      </c>
    </row>
    <row r="1367" ht="15.75" customHeight="1">
      <c r="A1367" s="33" t="s">
        <v>78</v>
      </c>
      <c r="B1367" s="33" t="s">
        <v>197</v>
      </c>
      <c r="C1367" s="33" t="s">
        <v>197</v>
      </c>
      <c r="D1367" s="33" t="s">
        <v>14</v>
      </c>
      <c r="E1367" s="34">
        <v>916.67</v>
      </c>
      <c r="F1367" s="33" t="s">
        <v>1787</v>
      </c>
    </row>
    <row r="1368" ht="15.75" customHeight="1">
      <c r="A1368" s="33" t="s">
        <v>78</v>
      </c>
      <c r="B1368" s="33" t="s">
        <v>162</v>
      </c>
      <c r="C1368" s="33" t="s">
        <v>585</v>
      </c>
      <c r="D1368" s="33" t="s">
        <v>14</v>
      </c>
      <c r="E1368" s="34">
        <v>1837.16</v>
      </c>
      <c r="F1368" s="33" t="s">
        <v>1788</v>
      </c>
    </row>
    <row r="1369" ht="15.75" customHeight="1">
      <c r="A1369" s="33" t="s">
        <v>78</v>
      </c>
      <c r="B1369" s="33" t="s">
        <v>223</v>
      </c>
      <c r="C1369" s="33" t="s">
        <v>852</v>
      </c>
      <c r="D1369" s="33" t="s">
        <v>14</v>
      </c>
      <c r="E1369" s="34">
        <v>5093.75</v>
      </c>
      <c r="F1369" s="33" t="s">
        <v>1789</v>
      </c>
    </row>
    <row r="1370" ht="15.75" customHeight="1">
      <c r="A1370" s="33" t="s">
        <v>78</v>
      </c>
      <c r="B1370" s="33" t="s">
        <v>103</v>
      </c>
      <c r="C1370" s="33" t="s">
        <v>103</v>
      </c>
      <c r="D1370" s="33" t="s">
        <v>30</v>
      </c>
      <c r="E1370" s="34">
        <v>6674.3</v>
      </c>
      <c r="F1370" s="33" t="s">
        <v>1790</v>
      </c>
    </row>
    <row r="1371" ht="15.75" customHeight="1">
      <c r="A1371" s="33" t="s">
        <v>78</v>
      </c>
      <c r="B1371" s="33" t="s">
        <v>29</v>
      </c>
      <c r="C1371" s="33" t="s">
        <v>29</v>
      </c>
      <c r="D1371" s="33" t="s">
        <v>28</v>
      </c>
      <c r="E1371" s="34">
        <v>30217.28</v>
      </c>
      <c r="F1371" s="33" t="s">
        <v>1791</v>
      </c>
    </row>
    <row r="1372" ht="15.75" customHeight="1">
      <c r="A1372" s="33" t="s">
        <v>78</v>
      </c>
      <c r="B1372" s="33" t="s">
        <v>409</v>
      </c>
      <c r="C1372" s="33" t="s">
        <v>409</v>
      </c>
      <c r="D1372" s="33" t="s">
        <v>14</v>
      </c>
      <c r="E1372" s="34">
        <v>500.0</v>
      </c>
      <c r="F1372" s="33" t="s">
        <v>1792</v>
      </c>
    </row>
    <row r="1373" ht="15.75" customHeight="1">
      <c r="A1373" s="33" t="s">
        <v>78</v>
      </c>
      <c r="B1373" s="33" t="s">
        <v>311</v>
      </c>
      <c r="C1373" s="33" t="s">
        <v>311</v>
      </c>
      <c r="D1373" s="33" t="s">
        <v>14</v>
      </c>
      <c r="E1373" s="34">
        <v>1184.26</v>
      </c>
      <c r="F1373" s="33" t="s">
        <v>1793</v>
      </c>
    </row>
    <row r="1374" ht="15.75" customHeight="1">
      <c r="A1374" s="33" t="s">
        <v>78</v>
      </c>
      <c r="B1374" s="33" t="s">
        <v>161</v>
      </c>
      <c r="C1374" s="33" t="s">
        <v>596</v>
      </c>
      <c r="D1374" s="33" t="s">
        <v>38</v>
      </c>
      <c r="E1374" s="34">
        <v>1536.0</v>
      </c>
      <c r="F1374" s="33" t="s">
        <v>1794</v>
      </c>
    </row>
    <row r="1375" ht="15.75" customHeight="1">
      <c r="A1375" s="33" t="s">
        <v>78</v>
      </c>
      <c r="B1375" s="33" t="s">
        <v>179</v>
      </c>
      <c r="C1375" s="33" t="s">
        <v>716</v>
      </c>
      <c r="D1375" s="33" t="s">
        <v>14</v>
      </c>
      <c r="E1375" s="34">
        <v>660.68</v>
      </c>
      <c r="F1375" s="33" t="s">
        <v>1795</v>
      </c>
    </row>
    <row r="1376" ht="15.75" customHeight="1">
      <c r="A1376" s="33" t="s">
        <v>78</v>
      </c>
      <c r="B1376" s="33" t="s">
        <v>338</v>
      </c>
      <c r="C1376" s="33" t="s">
        <v>338</v>
      </c>
      <c r="D1376" s="33" t="s">
        <v>16</v>
      </c>
      <c r="E1376" s="34">
        <v>50.0</v>
      </c>
      <c r="F1376" s="33" t="s">
        <v>1796</v>
      </c>
    </row>
    <row r="1377" ht="15.75" customHeight="1">
      <c r="A1377" s="33" t="s">
        <v>78</v>
      </c>
      <c r="B1377" s="33" t="s">
        <v>163</v>
      </c>
      <c r="C1377" s="33" t="s">
        <v>163</v>
      </c>
      <c r="D1377" s="33" t="s">
        <v>14</v>
      </c>
      <c r="E1377" s="34">
        <v>4177.71</v>
      </c>
      <c r="F1377" s="33" t="s">
        <v>1797</v>
      </c>
    </row>
    <row r="1378" ht="15.75" customHeight="1">
      <c r="A1378" s="33" t="s">
        <v>78</v>
      </c>
      <c r="B1378" s="33" t="s">
        <v>180</v>
      </c>
      <c r="C1378" s="33" t="s">
        <v>180</v>
      </c>
      <c r="D1378" s="33" t="s">
        <v>36</v>
      </c>
      <c r="E1378" s="34">
        <v>887.87</v>
      </c>
      <c r="F1378" s="33" t="s">
        <v>1798</v>
      </c>
    </row>
    <row r="1379" ht="15.75" customHeight="1">
      <c r="A1379" s="33" t="s">
        <v>78</v>
      </c>
      <c r="B1379" s="33" t="s">
        <v>369</v>
      </c>
      <c r="C1379" s="33" t="s">
        <v>369</v>
      </c>
      <c r="D1379" s="33" t="s">
        <v>36</v>
      </c>
      <c r="E1379" s="34">
        <v>64.52</v>
      </c>
      <c r="F1379" s="33" t="s">
        <v>1799</v>
      </c>
    </row>
    <row r="1380" ht="15.75" customHeight="1">
      <c r="A1380" s="33" t="s">
        <v>78</v>
      </c>
      <c r="B1380" s="33" t="s">
        <v>382</v>
      </c>
      <c r="C1380" s="33" t="s">
        <v>382</v>
      </c>
      <c r="D1380" s="33" t="s">
        <v>36</v>
      </c>
      <c r="E1380" s="34">
        <v>54.15</v>
      </c>
      <c r="F1380" s="33" t="s">
        <v>1800</v>
      </c>
    </row>
    <row r="1381" ht="15.75" customHeight="1">
      <c r="A1381" s="33" t="s">
        <v>78</v>
      </c>
      <c r="B1381" s="33" t="s">
        <v>170</v>
      </c>
      <c r="C1381" s="33" t="s">
        <v>170</v>
      </c>
      <c r="D1381" s="33" t="s">
        <v>14</v>
      </c>
      <c r="E1381" s="34">
        <v>575.0</v>
      </c>
      <c r="F1381" s="33" t="s">
        <v>1801</v>
      </c>
    </row>
    <row r="1382" ht="15.75" customHeight="1">
      <c r="A1382" s="33" t="s">
        <v>78</v>
      </c>
      <c r="B1382" s="33" t="s">
        <v>246</v>
      </c>
      <c r="C1382" s="33" t="s">
        <v>246</v>
      </c>
      <c r="D1382" s="33" t="s">
        <v>42</v>
      </c>
      <c r="E1382" s="34">
        <v>480.0</v>
      </c>
      <c r="F1382" s="33" t="s">
        <v>1802</v>
      </c>
    </row>
    <row r="1383" ht="15.75" customHeight="1">
      <c r="A1383" s="33" t="s">
        <v>78</v>
      </c>
      <c r="B1383" s="33" t="s">
        <v>119</v>
      </c>
      <c r="C1383" s="33" t="s">
        <v>119</v>
      </c>
      <c r="D1383" s="33" t="s">
        <v>14</v>
      </c>
      <c r="E1383" s="34">
        <v>1615.98</v>
      </c>
      <c r="F1383" s="33" t="s">
        <v>1803</v>
      </c>
    </row>
    <row r="1384" ht="15.75" customHeight="1">
      <c r="A1384" s="33" t="s">
        <v>78</v>
      </c>
      <c r="B1384" s="33" t="s">
        <v>420</v>
      </c>
      <c r="C1384" s="33" t="s">
        <v>420</v>
      </c>
      <c r="D1384" s="33" t="s">
        <v>14</v>
      </c>
      <c r="E1384" s="34">
        <v>200.0</v>
      </c>
      <c r="F1384" s="33" t="s">
        <v>1804</v>
      </c>
    </row>
    <row r="1385" ht="15.75" customHeight="1">
      <c r="A1385" s="33" t="s">
        <v>78</v>
      </c>
      <c r="B1385" s="33" t="s">
        <v>132</v>
      </c>
      <c r="C1385" s="33" t="s">
        <v>132</v>
      </c>
      <c r="D1385" s="33" t="s">
        <v>30</v>
      </c>
      <c r="E1385" s="34">
        <v>3200.0</v>
      </c>
      <c r="F1385" s="33" t="s">
        <v>1805</v>
      </c>
    </row>
    <row r="1386" ht="15.75" customHeight="1">
      <c r="A1386" s="33" t="s">
        <v>78</v>
      </c>
      <c r="B1386" s="33" t="s">
        <v>411</v>
      </c>
      <c r="C1386" s="33" t="s">
        <v>411</v>
      </c>
      <c r="D1386" s="33" t="s">
        <v>40</v>
      </c>
      <c r="E1386" s="34">
        <v>165.51</v>
      </c>
      <c r="F1386" s="33" t="s">
        <v>1806</v>
      </c>
    </row>
    <row r="1387" ht="15.75" customHeight="1">
      <c r="A1387" s="33" t="s">
        <v>78</v>
      </c>
      <c r="B1387" s="33" t="s">
        <v>222</v>
      </c>
      <c r="C1387" s="33" t="s">
        <v>664</v>
      </c>
      <c r="D1387" s="33" t="s">
        <v>38</v>
      </c>
      <c r="E1387" s="34">
        <v>211.52</v>
      </c>
      <c r="F1387" s="33" t="s">
        <v>1807</v>
      </c>
    </row>
    <row r="1388" ht="15.75" customHeight="1">
      <c r="A1388" s="33" t="s">
        <v>78</v>
      </c>
      <c r="B1388" s="33" t="s">
        <v>183</v>
      </c>
      <c r="C1388" s="33" t="s">
        <v>183</v>
      </c>
      <c r="D1388" s="33" t="s">
        <v>16</v>
      </c>
      <c r="E1388" s="34">
        <v>1252.82</v>
      </c>
      <c r="F1388" s="33" t="s">
        <v>1808</v>
      </c>
    </row>
    <row r="1389" ht="15.75" customHeight="1">
      <c r="A1389" s="33" t="s">
        <v>78</v>
      </c>
      <c r="B1389" s="33" t="s">
        <v>122</v>
      </c>
      <c r="C1389" s="33" t="s">
        <v>529</v>
      </c>
      <c r="D1389" s="33" t="s">
        <v>20</v>
      </c>
      <c r="E1389" s="34">
        <v>4840.0</v>
      </c>
      <c r="F1389" s="33" t="s">
        <v>1809</v>
      </c>
    </row>
    <row r="1390" ht="15.75" customHeight="1">
      <c r="A1390" s="33" t="s">
        <v>78</v>
      </c>
      <c r="B1390" s="33" t="s">
        <v>110</v>
      </c>
      <c r="C1390" s="33" t="s">
        <v>110</v>
      </c>
      <c r="D1390" s="33" t="s">
        <v>36</v>
      </c>
      <c r="E1390" s="34">
        <v>5137.2</v>
      </c>
      <c r="F1390" s="33" t="s">
        <v>1810</v>
      </c>
    </row>
    <row r="1391" ht="15.75" customHeight="1">
      <c r="A1391" s="33" t="s">
        <v>78</v>
      </c>
      <c r="B1391" s="33" t="s">
        <v>312</v>
      </c>
      <c r="C1391" s="33" t="s">
        <v>831</v>
      </c>
      <c r="D1391" s="33" t="s">
        <v>38</v>
      </c>
      <c r="E1391" s="34">
        <v>325.0</v>
      </c>
      <c r="F1391" s="33" t="s">
        <v>1811</v>
      </c>
    </row>
    <row r="1392" ht="15.75" customHeight="1">
      <c r="A1392" s="33" t="s">
        <v>78</v>
      </c>
      <c r="B1392" s="33" t="s">
        <v>192</v>
      </c>
      <c r="C1392" s="33" t="s">
        <v>192</v>
      </c>
      <c r="D1392" s="33" t="s">
        <v>14</v>
      </c>
      <c r="E1392" s="34">
        <v>5164.7</v>
      </c>
      <c r="F1392" s="33" t="s">
        <v>1812</v>
      </c>
    </row>
    <row r="1393" ht="15.75" customHeight="1">
      <c r="A1393" s="33" t="s">
        <v>78</v>
      </c>
      <c r="B1393" s="33" t="s">
        <v>95</v>
      </c>
      <c r="C1393" s="33" t="s">
        <v>538</v>
      </c>
      <c r="D1393" s="33" t="s">
        <v>14</v>
      </c>
      <c r="E1393" s="34">
        <v>9559.89</v>
      </c>
      <c r="F1393" s="33" t="s">
        <v>539</v>
      </c>
    </row>
    <row r="1394" ht="15.75" customHeight="1">
      <c r="A1394" s="33" t="s">
        <v>78</v>
      </c>
      <c r="B1394" s="33" t="s">
        <v>230</v>
      </c>
      <c r="C1394" s="33" t="s">
        <v>1363</v>
      </c>
      <c r="D1394" s="33" t="s">
        <v>36</v>
      </c>
      <c r="E1394" s="34">
        <v>55.24</v>
      </c>
      <c r="F1394" s="33" t="s">
        <v>1813</v>
      </c>
    </row>
    <row r="1395" ht="15.75" customHeight="1">
      <c r="A1395" s="33" t="s">
        <v>78</v>
      </c>
      <c r="B1395" s="33" t="s">
        <v>291</v>
      </c>
      <c r="C1395" s="33" t="s">
        <v>291</v>
      </c>
      <c r="D1395" s="33" t="s">
        <v>38</v>
      </c>
      <c r="E1395" s="34">
        <v>145.08</v>
      </c>
      <c r="F1395" s="33" t="s">
        <v>1814</v>
      </c>
    </row>
    <row r="1396" ht="15.75" customHeight="1">
      <c r="A1396" s="33" t="s">
        <v>78</v>
      </c>
      <c r="B1396" s="33" t="s">
        <v>214</v>
      </c>
      <c r="C1396" s="33" t="s">
        <v>214</v>
      </c>
      <c r="D1396" s="33" t="s">
        <v>14</v>
      </c>
      <c r="E1396" s="34">
        <v>432.0</v>
      </c>
      <c r="F1396" s="33" t="s">
        <v>1815</v>
      </c>
    </row>
    <row r="1397" ht="15.75" customHeight="1">
      <c r="A1397" s="33" t="s">
        <v>78</v>
      </c>
      <c r="B1397" s="33" t="s">
        <v>127</v>
      </c>
      <c r="C1397" s="33" t="s">
        <v>127</v>
      </c>
      <c r="D1397" s="33" t="s">
        <v>36</v>
      </c>
      <c r="E1397" s="34">
        <v>116.85</v>
      </c>
      <c r="F1397" s="33" t="s">
        <v>1816</v>
      </c>
    </row>
    <row r="1398" ht="15.75" customHeight="1">
      <c r="A1398" s="33" t="s">
        <v>78</v>
      </c>
      <c r="B1398" s="33" t="s">
        <v>39</v>
      </c>
      <c r="C1398" s="33" t="s">
        <v>39</v>
      </c>
      <c r="D1398" s="33" t="s">
        <v>16</v>
      </c>
      <c r="E1398" s="34">
        <v>425.46</v>
      </c>
      <c r="F1398" s="33" t="s">
        <v>1817</v>
      </c>
    </row>
    <row r="1399" ht="15.75" customHeight="1">
      <c r="A1399" s="33" t="s">
        <v>78</v>
      </c>
      <c r="B1399" s="33" t="s">
        <v>39</v>
      </c>
      <c r="C1399" s="33" t="s">
        <v>39</v>
      </c>
      <c r="D1399" s="33" t="s">
        <v>16</v>
      </c>
      <c r="E1399" s="34">
        <v>2415.03</v>
      </c>
      <c r="F1399" s="33" t="s">
        <v>1818</v>
      </c>
    </row>
    <row r="1400" ht="15.75" customHeight="1">
      <c r="A1400" s="33" t="s">
        <v>78</v>
      </c>
      <c r="B1400" s="33" t="s">
        <v>1819</v>
      </c>
      <c r="C1400" s="33" t="s">
        <v>425</v>
      </c>
      <c r="D1400" s="33" t="s">
        <v>22</v>
      </c>
      <c r="E1400" s="34">
        <v>116.0</v>
      </c>
      <c r="F1400" s="33" t="s">
        <v>1820</v>
      </c>
    </row>
    <row r="1401" ht="15.75" customHeight="1">
      <c r="A1401" s="33" t="s">
        <v>78</v>
      </c>
      <c r="B1401" s="33" t="s">
        <v>329</v>
      </c>
      <c r="C1401" s="33" t="s">
        <v>329</v>
      </c>
      <c r="D1401" s="33" t="s">
        <v>14</v>
      </c>
      <c r="E1401" s="34">
        <v>133.0</v>
      </c>
      <c r="F1401" s="33" t="s">
        <v>1821</v>
      </c>
    </row>
    <row r="1402" ht="15.75" customHeight="1">
      <c r="A1402" s="33" t="s">
        <v>78</v>
      </c>
      <c r="B1402" s="33" t="s">
        <v>351</v>
      </c>
      <c r="C1402" s="33" t="s">
        <v>351</v>
      </c>
      <c r="D1402" s="33" t="s">
        <v>38</v>
      </c>
      <c r="E1402" s="34">
        <v>27.24</v>
      </c>
      <c r="F1402" s="33" t="s">
        <v>1822</v>
      </c>
    </row>
    <row r="1403" ht="15.75" customHeight="1">
      <c r="A1403" s="33" t="s">
        <v>78</v>
      </c>
      <c r="B1403" s="33" t="s">
        <v>141</v>
      </c>
      <c r="C1403" s="33" t="s">
        <v>141</v>
      </c>
      <c r="D1403" s="33" t="s">
        <v>14</v>
      </c>
      <c r="E1403" s="34">
        <v>1652.09</v>
      </c>
      <c r="F1403" s="33" t="s">
        <v>1823</v>
      </c>
    </row>
    <row r="1404" ht="15.75" customHeight="1">
      <c r="A1404" s="33" t="s">
        <v>78</v>
      </c>
      <c r="B1404" s="33" t="s">
        <v>196</v>
      </c>
      <c r="C1404" s="33" t="s">
        <v>196</v>
      </c>
      <c r="D1404" s="33" t="s">
        <v>30</v>
      </c>
      <c r="E1404" s="34">
        <v>803.08</v>
      </c>
      <c r="F1404" s="33" t="s">
        <v>1824</v>
      </c>
    </row>
    <row r="1405" ht="15.75" customHeight="1">
      <c r="A1405" s="33" t="s">
        <v>78</v>
      </c>
      <c r="B1405" s="33" t="s">
        <v>96</v>
      </c>
      <c r="C1405" s="33" t="s">
        <v>925</v>
      </c>
      <c r="D1405" s="33" t="s">
        <v>20</v>
      </c>
      <c r="E1405" s="34">
        <v>3210.9</v>
      </c>
      <c r="F1405" s="33" t="s">
        <v>1825</v>
      </c>
    </row>
    <row r="1406" ht="15.75" customHeight="1">
      <c r="A1406" s="33" t="s">
        <v>78</v>
      </c>
      <c r="B1406" s="33" t="s">
        <v>134</v>
      </c>
      <c r="C1406" s="33" t="s">
        <v>1826</v>
      </c>
      <c r="D1406" s="33" t="s">
        <v>26</v>
      </c>
      <c r="E1406" s="34">
        <v>28886.33</v>
      </c>
      <c r="F1406" s="33" t="s">
        <v>1827</v>
      </c>
    </row>
    <row r="1407" ht="15.75" customHeight="1">
      <c r="A1407" s="33" t="s">
        <v>78</v>
      </c>
      <c r="B1407" s="33" t="s">
        <v>145</v>
      </c>
      <c r="C1407" s="33" t="s">
        <v>564</v>
      </c>
      <c r="D1407" s="33" t="s">
        <v>14</v>
      </c>
      <c r="E1407" s="34">
        <v>600.0</v>
      </c>
      <c r="F1407" s="33" t="s">
        <v>1828</v>
      </c>
    </row>
    <row r="1408" ht="15.75" customHeight="1">
      <c r="A1408" s="33" t="s">
        <v>78</v>
      </c>
      <c r="B1408" s="33" t="s">
        <v>136</v>
      </c>
      <c r="C1408" s="33" t="s">
        <v>136</v>
      </c>
      <c r="D1408" s="33" t="s">
        <v>14</v>
      </c>
      <c r="E1408" s="34">
        <v>5425.64</v>
      </c>
      <c r="F1408" s="33" t="s">
        <v>1829</v>
      </c>
    </row>
    <row r="1409" ht="15.75" customHeight="1">
      <c r="A1409" s="33" t="s">
        <v>78</v>
      </c>
      <c r="B1409" s="33" t="s">
        <v>290</v>
      </c>
      <c r="C1409" s="33" t="s">
        <v>568</v>
      </c>
      <c r="D1409" s="33" t="s">
        <v>14</v>
      </c>
      <c r="E1409" s="34">
        <v>267.0</v>
      </c>
      <c r="F1409" s="33" t="s">
        <v>1830</v>
      </c>
    </row>
    <row r="1410" ht="15.75" customHeight="1">
      <c r="A1410" s="33" t="s">
        <v>78</v>
      </c>
      <c r="B1410" s="33" t="s">
        <v>152</v>
      </c>
      <c r="C1410" s="33" t="s">
        <v>152</v>
      </c>
      <c r="D1410" s="33" t="s">
        <v>18</v>
      </c>
      <c r="E1410" s="34">
        <v>2022.5</v>
      </c>
      <c r="F1410" s="33" t="s">
        <v>1831</v>
      </c>
    </row>
    <row r="1411" ht="15.75" customHeight="1">
      <c r="A1411" s="33" t="s">
        <v>78</v>
      </c>
      <c r="B1411" s="33" t="s">
        <v>153</v>
      </c>
      <c r="C1411" s="33" t="s">
        <v>153</v>
      </c>
      <c r="D1411" s="33" t="s">
        <v>14</v>
      </c>
      <c r="E1411" s="34">
        <v>2022.5</v>
      </c>
      <c r="F1411" s="33" t="s">
        <v>1831</v>
      </c>
    </row>
    <row r="1412" ht="15.75" customHeight="1">
      <c r="A1412" s="33" t="s">
        <v>78</v>
      </c>
      <c r="B1412" s="33" t="s">
        <v>450</v>
      </c>
      <c r="C1412" s="33" t="s">
        <v>450</v>
      </c>
      <c r="D1412" s="33" t="s">
        <v>14</v>
      </c>
      <c r="E1412" s="34">
        <v>200.0</v>
      </c>
      <c r="F1412" s="33" t="s">
        <v>1832</v>
      </c>
    </row>
    <row r="1413" ht="15.75" customHeight="1">
      <c r="A1413" s="33" t="s">
        <v>78</v>
      </c>
      <c r="B1413" s="33" t="s">
        <v>166</v>
      </c>
      <c r="C1413" s="33" t="s">
        <v>166</v>
      </c>
      <c r="D1413" s="33" t="s">
        <v>14</v>
      </c>
      <c r="E1413" s="34">
        <v>7153.89</v>
      </c>
      <c r="F1413" s="33" t="s">
        <v>1833</v>
      </c>
    </row>
    <row r="1414" ht="15.75" customHeight="1">
      <c r="A1414" s="33" t="s">
        <v>78</v>
      </c>
      <c r="B1414" s="33" t="s">
        <v>191</v>
      </c>
      <c r="C1414" s="33" t="s">
        <v>191</v>
      </c>
      <c r="D1414" s="33" t="s">
        <v>14</v>
      </c>
      <c r="E1414" s="34">
        <v>218.0</v>
      </c>
      <c r="F1414" s="33" t="s">
        <v>1834</v>
      </c>
    </row>
    <row r="1415" ht="15.75" customHeight="1">
      <c r="A1415" s="33" t="s">
        <v>78</v>
      </c>
      <c r="B1415" s="33" t="s">
        <v>410</v>
      </c>
      <c r="C1415" s="33" t="s">
        <v>577</v>
      </c>
      <c r="D1415" s="33" t="s">
        <v>14</v>
      </c>
      <c r="E1415" s="34">
        <v>48.43</v>
      </c>
      <c r="F1415" s="33" t="s">
        <v>578</v>
      </c>
    </row>
    <row r="1416" ht="15.75" customHeight="1">
      <c r="A1416" s="33" t="s">
        <v>78</v>
      </c>
      <c r="B1416" s="33" t="s">
        <v>384</v>
      </c>
      <c r="C1416" s="33" t="s">
        <v>640</v>
      </c>
      <c r="D1416" s="33" t="s">
        <v>14</v>
      </c>
      <c r="E1416" s="34">
        <v>33.0</v>
      </c>
      <c r="F1416" s="33" t="s">
        <v>1835</v>
      </c>
    </row>
    <row r="1417" ht="15.75" customHeight="1">
      <c r="A1417" s="33" t="s">
        <v>78</v>
      </c>
      <c r="B1417" s="33" t="s">
        <v>208</v>
      </c>
      <c r="C1417" s="33" t="s">
        <v>208</v>
      </c>
      <c r="D1417" s="33" t="s">
        <v>14</v>
      </c>
      <c r="E1417" s="34">
        <v>3840.0</v>
      </c>
      <c r="F1417" s="33" t="s">
        <v>1836</v>
      </c>
    </row>
    <row r="1418" ht="15.75" customHeight="1">
      <c r="A1418" s="33" t="s">
        <v>78</v>
      </c>
      <c r="B1418" s="33" t="s">
        <v>131</v>
      </c>
      <c r="C1418" s="33" t="s">
        <v>1837</v>
      </c>
      <c r="D1418" s="33" t="s">
        <v>14</v>
      </c>
      <c r="E1418" s="34">
        <v>30194.65</v>
      </c>
      <c r="F1418" s="33" t="s">
        <v>1838</v>
      </c>
    </row>
    <row r="1419" ht="15.75" customHeight="1">
      <c r="A1419" s="33" t="s">
        <v>78</v>
      </c>
      <c r="B1419" s="33" t="s">
        <v>234</v>
      </c>
      <c r="C1419" s="33" t="s">
        <v>234</v>
      </c>
      <c r="D1419" s="33" t="s">
        <v>14</v>
      </c>
      <c r="E1419" s="34">
        <v>490.62</v>
      </c>
      <c r="F1419" s="33" t="s">
        <v>1839</v>
      </c>
    </row>
    <row r="1420" ht="15.75" customHeight="1">
      <c r="A1420" s="33" t="s">
        <v>78</v>
      </c>
      <c r="B1420" s="33" t="s">
        <v>200</v>
      </c>
      <c r="C1420" s="33" t="s">
        <v>1141</v>
      </c>
      <c r="D1420" s="33" t="s">
        <v>14</v>
      </c>
      <c r="E1420" s="34">
        <v>2281.53</v>
      </c>
      <c r="F1420" s="33" t="s">
        <v>1840</v>
      </c>
    </row>
    <row r="1421" ht="15.75" customHeight="1">
      <c r="A1421" s="33" t="s">
        <v>78</v>
      </c>
      <c r="B1421" s="33" t="s">
        <v>219</v>
      </c>
      <c r="C1421" s="33" t="s">
        <v>219</v>
      </c>
      <c r="D1421" s="33" t="s">
        <v>14</v>
      </c>
      <c r="E1421" s="34">
        <v>3316.5</v>
      </c>
      <c r="F1421" s="33" t="s">
        <v>1841</v>
      </c>
    </row>
    <row r="1422" ht="15.75" customHeight="1">
      <c r="A1422" s="33" t="s">
        <v>78</v>
      </c>
      <c r="B1422" s="33" t="s">
        <v>190</v>
      </c>
      <c r="C1422" s="33" t="s">
        <v>190</v>
      </c>
      <c r="D1422" s="33" t="s">
        <v>40</v>
      </c>
      <c r="E1422" s="34">
        <v>2036.85</v>
      </c>
      <c r="F1422" s="33" t="s">
        <v>1842</v>
      </c>
    </row>
    <row r="1423" ht="15.75" customHeight="1">
      <c r="A1423" s="33" t="s">
        <v>78</v>
      </c>
      <c r="B1423" s="33" t="s">
        <v>103</v>
      </c>
      <c r="C1423" s="33" t="s">
        <v>103</v>
      </c>
      <c r="D1423" s="33" t="s">
        <v>30</v>
      </c>
      <c r="E1423" s="34">
        <v>6674.3</v>
      </c>
      <c r="F1423" s="33" t="s">
        <v>1843</v>
      </c>
    </row>
    <row r="1424" ht="15.75" customHeight="1">
      <c r="A1424" s="33" t="s">
        <v>78</v>
      </c>
      <c r="B1424" s="33" t="s">
        <v>298</v>
      </c>
      <c r="C1424" s="33" t="s">
        <v>594</v>
      </c>
      <c r="D1424" s="33" t="s">
        <v>14</v>
      </c>
      <c r="E1424" s="34">
        <v>384.8</v>
      </c>
      <c r="F1424" s="33" t="s">
        <v>1844</v>
      </c>
    </row>
    <row r="1425" ht="15.75" customHeight="1">
      <c r="A1425" s="33" t="s">
        <v>78</v>
      </c>
      <c r="B1425" s="33" t="s">
        <v>161</v>
      </c>
      <c r="C1425" s="33" t="s">
        <v>596</v>
      </c>
      <c r="D1425" s="33" t="s">
        <v>38</v>
      </c>
      <c r="E1425" s="34">
        <v>551.5</v>
      </c>
      <c r="F1425" s="33" t="s">
        <v>1845</v>
      </c>
    </row>
    <row r="1426" ht="15.75" customHeight="1">
      <c r="A1426" s="33" t="s">
        <v>78</v>
      </c>
      <c r="B1426" s="33" t="s">
        <v>163</v>
      </c>
      <c r="C1426" s="33" t="s">
        <v>163</v>
      </c>
      <c r="D1426" s="33" t="s">
        <v>14</v>
      </c>
      <c r="E1426" s="34">
        <v>172.0</v>
      </c>
      <c r="F1426" s="33" t="s">
        <v>1846</v>
      </c>
    </row>
    <row r="1427" ht="15.75" customHeight="1">
      <c r="A1427" s="33" t="s">
        <v>78</v>
      </c>
      <c r="B1427" s="33" t="s">
        <v>91</v>
      </c>
      <c r="C1427" s="33" t="s">
        <v>91</v>
      </c>
      <c r="D1427" s="33" t="s">
        <v>32</v>
      </c>
      <c r="E1427" s="34">
        <v>12979.9</v>
      </c>
      <c r="F1427" s="33" t="s">
        <v>1847</v>
      </c>
    </row>
    <row r="1428" ht="15.75" customHeight="1">
      <c r="A1428" s="33" t="s">
        <v>78</v>
      </c>
      <c r="B1428" s="33" t="s">
        <v>298</v>
      </c>
      <c r="C1428" s="33" t="s">
        <v>594</v>
      </c>
      <c r="D1428" s="33" t="s">
        <v>14</v>
      </c>
      <c r="E1428" s="34">
        <v>29.6</v>
      </c>
      <c r="F1428" s="33" t="s">
        <v>1848</v>
      </c>
    </row>
    <row r="1429" ht="15.75" customHeight="1">
      <c r="A1429" s="33" t="s">
        <v>79</v>
      </c>
      <c r="B1429" s="33" t="s">
        <v>330</v>
      </c>
      <c r="C1429" s="33" t="s">
        <v>522</v>
      </c>
      <c r="D1429" s="33" t="s">
        <v>40</v>
      </c>
      <c r="E1429" s="34">
        <v>95.0</v>
      </c>
      <c r="F1429" s="33" t="s">
        <v>1849</v>
      </c>
    </row>
    <row r="1430" ht="15.75" customHeight="1">
      <c r="A1430" s="33" t="s">
        <v>79</v>
      </c>
      <c r="B1430" s="33" t="s">
        <v>222</v>
      </c>
      <c r="C1430" s="33" t="s">
        <v>664</v>
      </c>
      <c r="D1430" s="33" t="s">
        <v>38</v>
      </c>
      <c r="E1430" s="34">
        <v>236.6</v>
      </c>
      <c r="F1430" s="33" t="s">
        <v>1404</v>
      </c>
    </row>
    <row r="1431" ht="15.75" customHeight="1">
      <c r="A1431" s="33" t="s">
        <v>79</v>
      </c>
      <c r="B1431" s="33" t="s">
        <v>300</v>
      </c>
      <c r="C1431" s="33" t="s">
        <v>300</v>
      </c>
      <c r="D1431" s="33" t="s">
        <v>14</v>
      </c>
      <c r="E1431" s="34">
        <v>1705.0</v>
      </c>
      <c r="F1431" s="33" t="s">
        <v>1850</v>
      </c>
    </row>
    <row r="1432" ht="15.75" customHeight="1">
      <c r="A1432" s="33" t="s">
        <v>79</v>
      </c>
      <c r="B1432" s="33" t="s">
        <v>17</v>
      </c>
      <c r="C1432" s="33" t="s">
        <v>534</v>
      </c>
      <c r="D1432" s="33" t="s">
        <v>18</v>
      </c>
      <c r="E1432" s="34">
        <v>256.25</v>
      </c>
      <c r="F1432" s="33" t="s">
        <v>1851</v>
      </c>
    </row>
    <row r="1433" ht="15.75" customHeight="1">
      <c r="A1433" s="33" t="s">
        <v>79</v>
      </c>
      <c r="B1433" s="33" t="s">
        <v>137</v>
      </c>
      <c r="C1433" s="33" t="s">
        <v>137</v>
      </c>
      <c r="D1433" s="33" t="s">
        <v>18</v>
      </c>
      <c r="E1433" s="34">
        <v>1372.73</v>
      </c>
      <c r="F1433" s="33" t="s">
        <v>1852</v>
      </c>
    </row>
    <row r="1434" ht="15.75" customHeight="1">
      <c r="A1434" s="33" t="s">
        <v>79</v>
      </c>
      <c r="B1434" s="33" t="s">
        <v>415</v>
      </c>
      <c r="C1434" s="33" t="s">
        <v>415</v>
      </c>
      <c r="D1434" s="33" t="s">
        <v>14</v>
      </c>
      <c r="E1434" s="34">
        <v>444.5</v>
      </c>
      <c r="F1434" s="33" t="s">
        <v>1853</v>
      </c>
    </row>
    <row r="1435" ht="15.75" customHeight="1">
      <c r="A1435" s="33" t="s">
        <v>79</v>
      </c>
      <c r="B1435" s="33" t="s">
        <v>90</v>
      </c>
      <c r="C1435" s="33" t="s">
        <v>536</v>
      </c>
      <c r="D1435" s="33" t="s">
        <v>18</v>
      </c>
      <c r="E1435" s="34">
        <v>8351.76</v>
      </c>
      <c r="F1435" s="33" t="s">
        <v>1854</v>
      </c>
    </row>
    <row r="1436" ht="15.75" customHeight="1">
      <c r="A1436" s="33" t="s">
        <v>79</v>
      </c>
      <c r="B1436" s="33" t="s">
        <v>113</v>
      </c>
      <c r="C1436" s="33" t="s">
        <v>540</v>
      </c>
      <c r="D1436" s="33" t="s">
        <v>14</v>
      </c>
      <c r="E1436" s="34">
        <v>1902.62</v>
      </c>
      <c r="F1436" s="33" t="s">
        <v>1855</v>
      </c>
    </row>
    <row r="1437" ht="15.75" customHeight="1">
      <c r="A1437" s="33" t="s">
        <v>79</v>
      </c>
      <c r="B1437" s="33" t="s">
        <v>477</v>
      </c>
      <c r="C1437" s="33" t="s">
        <v>477</v>
      </c>
      <c r="D1437" s="33" t="s">
        <v>14</v>
      </c>
      <c r="E1437" s="34">
        <v>79.97</v>
      </c>
      <c r="F1437" s="33" t="s">
        <v>1856</v>
      </c>
    </row>
    <row r="1438" ht="15.75" customHeight="1">
      <c r="A1438" s="33" t="s">
        <v>79</v>
      </c>
      <c r="B1438" s="33" t="s">
        <v>127</v>
      </c>
      <c r="C1438" s="33" t="s">
        <v>127</v>
      </c>
      <c r="D1438" s="33" t="s">
        <v>36</v>
      </c>
      <c r="E1438" s="34">
        <v>1204.68</v>
      </c>
      <c r="F1438" s="33" t="s">
        <v>1857</v>
      </c>
    </row>
    <row r="1439" ht="15.75" customHeight="1">
      <c r="A1439" s="33" t="s">
        <v>79</v>
      </c>
      <c r="B1439" s="33" t="s">
        <v>21</v>
      </c>
      <c r="C1439" s="33" t="s">
        <v>21</v>
      </c>
      <c r="D1439" s="33" t="s">
        <v>16</v>
      </c>
      <c r="E1439" s="34">
        <v>97051.65</v>
      </c>
      <c r="F1439" s="33" t="s">
        <v>1858</v>
      </c>
    </row>
    <row r="1440" ht="15.75" customHeight="1">
      <c r="A1440" s="33" t="s">
        <v>79</v>
      </c>
      <c r="B1440" s="33" t="s">
        <v>100</v>
      </c>
      <c r="C1440" s="33" t="s">
        <v>626</v>
      </c>
      <c r="D1440" s="33" t="s">
        <v>22</v>
      </c>
      <c r="E1440" s="34">
        <v>2760.0</v>
      </c>
      <c r="F1440" s="33" t="s">
        <v>1764</v>
      </c>
    </row>
    <row r="1441" ht="15.75" customHeight="1">
      <c r="A1441" s="33" t="s">
        <v>79</v>
      </c>
      <c r="B1441" s="33" t="s">
        <v>351</v>
      </c>
      <c r="C1441" s="33" t="s">
        <v>351</v>
      </c>
      <c r="D1441" s="33" t="s">
        <v>38</v>
      </c>
      <c r="E1441" s="34">
        <v>63.77</v>
      </c>
      <c r="F1441" s="33" t="s">
        <v>1420</v>
      </c>
    </row>
    <row r="1442" ht="15.75" customHeight="1">
      <c r="A1442" s="33" t="s">
        <v>79</v>
      </c>
      <c r="B1442" s="33" t="s">
        <v>150</v>
      </c>
      <c r="C1442" s="33" t="s">
        <v>551</v>
      </c>
      <c r="D1442" s="33" t="s">
        <v>26</v>
      </c>
      <c r="E1442" s="34">
        <v>1961.0</v>
      </c>
      <c r="F1442" s="33" t="s">
        <v>1859</v>
      </c>
    </row>
    <row r="1443" ht="15.75" customHeight="1">
      <c r="A1443" s="33" t="s">
        <v>79</v>
      </c>
      <c r="B1443" s="33" t="s">
        <v>277</v>
      </c>
      <c r="C1443" s="33" t="s">
        <v>277</v>
      </c>
      <c r="D1443" s="33" t="s">
        <v>14</v>
      </c>
      <c r="E1443" s="34">
        <v>812.62</v>
      </c>
      <c r="F1443" s="33" t="s">
        <v>1860</v>
      </c>
    </row>
    <row r="1444" ht="15.75" customHeight="1">
      <c r="A1444" s="33" t="s">
        <v>79</v>
      </c>
      <c r="B1444" s="33" t="s">
        <v>218</v>
      </c>
      <c r="C1444" s="33" t="s">
        <v>553</v>
      </c>
      <c r="D1444" s="33" t="s">
        <v>40</v>
      </c>
      <c r="E1444" s="34">
        <v>37.5</v>
      </c>
      <c r="F1444" s="33" t="s">
        <v>1766</v>
      </c>
    </row>
    <row r="1445" ht="15.75" customHeight="1">
      <c r="A1445" s="33" t="s">
        <v>79</v>
      </c>
      <c r="B1445" s="33" t="s">
        <v>146</v>
      </c>
      <c r="C1445" s="33" t="s">
        <v>1056</v>
      </c>
      <c r="D1445" s="33" t="s">
        <v>18</v>
      </c>
      <c r="E1445" s="34">
        <v>7150.52</v>
      </c>
      <c r="F1445" s="33" t="s">
        <v>1861</v>
      </c>
    </row>
    <row r="1446" ht="15.75" customHeight="1">
      <c r="A1446" s="33" t="s">
        <v>79</v>
      </c>
      <c r="B1446" s="33" t="s">
        <v>141</v>
      </c>
      <c r="C1446" s="33" t="s">
        <v>141</v>
      </c>
      <c r="D1446" s="33" t="s">
        <v>14</v>
      </c>
      <c r="E1446" s="34">
        <v>229.15</v>
      </c>
      <c r="F1446" s="33" t="s">
        <v>1862</v>
      </c>
    </row>
    <row r="1447" ht="15.75" customHeight="1">
      <c r="A1447" s="33" t="s">
        <v>79</v>
      </c>
      <c r="B1447" s="33" t="s">
        <v>109</v>
      </c>
      <c r="C1447" s="33" t="s">
        <v>109</v>
      </c>
      <c r="D1447" s="33" t="s">
        <v>22</v>
      </c>
      <c r="E1447" s="34">
        <v>7498.69</v>
      </c>
      <c r="F1447" s="33" t="s">
        <v>1863</v>
      </c>
    </row>
    <row r="1448" ht="15.75" customHeight="1">
      <c r="A1448" s="33" t="s">
        <v>79</v>
      </c>
      <c r="B1448" s="33" t="s">
        <v>259</v>
      </c>
      <c r="C1448" s="33" t="s">
        <v>680</v>
      </c>
      <c r="D1448" s="33" t="s">
        <v>14</v>
      </c>
      <c r="E1448" s="34">
        <v>1625.0</v>
      </c>
      <c r="F1448" s="33" t="s">
        <v>1864</v>
      </c>
    </row>
    <row r="1449" ht="15.75" customHeight="1">
      <c r="A1449" s="33" t="s">
        <v>79</v>
      </c>
      <c r="B1449" s="33" t="s">
        <v>151</v>
      </c>
      <c r="C1449" s="33" t="s">
        <v>151</v>
      </c>
      <c r="D1449" s="33" t="s">
        <v>20</v>
      </c>
      <c r="E1449" s="34">
        <v>5136.12</v>
      </c>
      <c r="F1449" s="33" t="s">
        <v>1865</v>
      </c>
    </row>
    <row r="1450" ht="15.75" customHeight="1">
      <c r="A1450" s="33" t="s">
        <v>79</v>
      </c>
      <c r="B1450" s="33" t="s">
        <v>98</v>
      </c>
      <c r="C1450" s="33" t="s">
        <v>1483</v>
      </c>
      <c r="D1450" s="33" t="s">
        <v>26</v>
      </c>
      <c r="E1450" s="34">
        <v>7765.11</v>
      </c>
      <c r="F1450" s="33" t="s">
        <v>1866</v>
      </c>
    </row>
    <row r="1451" ht="15.75" customHeight="1">
      <c r="A1451" s="33" t="s">
        <v>79</v>
      </c>
      <c r="B1451" s="33" t="s">
        <v>155</v>
      </c>
      <c r="C1451" s="33" t="s">
        <v>1436</v>
      </c>
      <c r="D1451" s="33" t="s">
        <v>14</v>
      </c>
      <c r="E1451" s="34">
        <v>1195.0</v>
      </c>
      <c r="F1451" s="33" t="s">
        <v>1867</v>
      </c>
    </row>
    <row r="1452" ht="15.75" customHeight="1">
      <c r="A1452" s="33" t="s">
        <v>79</v>
      </c>
      <c r="B1452" s="33" t="s">
        <v>446</v>
      </c>
      <c r="C1452" s="33" t="s">
        <v>446</v>
      </c>
      <c r="D1452" s="33" t="s">
        <v>14</v>
      </c>
      <c r="E1452" s="34">
        <v>15.95</v>
      </c>
      <c r="F1452" s="33" t="s">
        <v>1868</v>
      </c>
    </row>
    <row r="1453" ht="15.75" customHeight="1">
      <c r="A1453" s="33" t="s">
        <v>79</v>
      </c>
      <c r="B1453" s="33" t="s">
        <v>262</v>
      </c>
      <c r="C1453" s="33" t="s">
        <v>262</v>
      </c>
      <c r="D1453" s="33" t="s">
        <v>32</v>
      </c>
      <c r="E1453" s="34">
        <v>3840.0</v>
      </c>
      <c r="F1453" s="33" t="s">
        <v>1869</v>
      </c>
    </row>
    <row r="1454" ht="15.75" customHeight="1">
      <c r="A1454" s="33" t="s">
        <v>79</v>
      </c>
      <c r="B1454" s="33" t="s">
        <v>186</v>
      </c>
      <c r="C1454" s="33" t="s">
        <v>186</v>
      </c>
      <c r="D1454" s="33" t="s">
        <v>18</v>
      </c>
      <c r="E1454" s="34">
        <v>32.28</v>
      </c>
      <c r="F1454" s="33" t="s">
        <v>1870</v>
      </c>
    </row>
    <row r="1455" ht="15.75" customHeight="1">
      <c r="A1455" s="33" t="s">
        <v>79</v>
      </c>
      <c r="B1455" s="33" t="s">
        <v>99</v>
      </c>
      <c r="C1455" s="33" t="s">
        <v>99</v>
      </c>
      <c r="D1455" s="33" t="s">
        <v>16</v>
      </c>
      <c r="E1455" s="34">
        <v>3590.0</v>
      </c>
      <c r="F1455" s="33" t="s">
        <v>1871</v>
      </c>
    </row>
    <row r="1456" ht="15.75" customHeight="1">
      <c r="A1456" s="33" t="s">
        <v>79</v>
      </c>
      <c r="B1456" s="33" t="s">
        <v>15</v>
      </c>
      <c r="C1456" s="33" t="s">
        <v>15</v>
      </c>
      <c r="D1456" s="33" t="s">
        <v>20</v>
      </c>
      <c r="E1456" s="34">
        <v>10376.0</v>
      </c>
      <c r="F1456" s="33" t="s">
        <v>1872</v>
      </c>
    </row>
    <row r="1457" ht="15.75" customHeight="1">
      <c r="A1457" s="33" t="s">
        <v>79</v>
      </c>
      <c r="B1457" s="33" t="s">
        <v>235</v>
      </c>
      <c r="C1457" s="33" t="s">
        <v>842</v>
      </c>
      <c r="D1457" s="33" t="s">
        <v>30</v>
      </c>
      <c r="E1457" s="34">
        <v>1187.88</v>
      </c>
      <c r="F1457" s="33" t="s">
        <v>851</v>
      </c>
    </row>
    <row r="1458" ht="15.75" customHeight="1">
      <c r="A1458" s="33" t="s">
        <v>79</v>
      </c>
      <c r="B1458" s="33" t="s">
        <v>144</v>
      </c>
      <c r="C1458" s="33" t="s">
        <v>144</v>
      </c>
      <c r="D1458" s="33" t="s">
        <v>18</v>
      </c>
      <c r="E1458" s="34">
        <v>1093.85</v>
      </c>
      <c r="F1458" s="33" t="s">
        <v>644</v>
      </c>
    </row>
    <row r="1459" ht="15.75" customHeight="1">
      <c r="A1459" s="33" t="s">
        <v>79</v>
      </c>
      <c r="B1459" s="33" t="s">
        <v>197</v>
      </c>
      <c r="C1459" s="33" t="s">
        <v>197</v>
      </c>
      <c r="D1459" s="33" t="s">
        <v>14</v>
      </c>
      <c r="E1459" s="34">
        <v>916.67</v>
      </c>
      <c r="F1459" s="33" t="s">
        <v>1873</v>
      </c>
    </row>
    <row r="1460" ht="15.75" customHeight="1">
      <c r="A1460" s="33" t="s">
        <v>79</v>
      </c>
      <c r="B1460" s="33" t="s">
        <v>200</v>
      </c>
      <c r="C1460" s="33" t="s">
        <v>1141</v>
      </c>
      <c r="D1460" s="33" t="s">
        <v>14</v>
      </c>
      <c r="E1460" s="34">
        <v>1310.94</v>
      </c>
      <c r="F1460" s="33" t="s">
        <v>1874</v>
      </c>
    </row>
    <row r="1461" ht="15.75" customHeight="1">
      <c r="A1461" s="33" t="s">
        <v>79</v>
      </c>
      <c r="B1461" s="33" t="s">
        <v>156</v>
      </c>
      <c r="C1461" s="33" t="s">
        <v>1875</v>
      </c>
      <c r="D1461" s="33" t="s">
        <v>26</v>
      </c>
      <c r="E1461" s="34">
        <v>18985.0</v>
      </c>
      <c r="F1461" s="33" t="s">
        <v>1876</v>
      </c>
    </row>
    <row r="1462" ht="15.75" customHeight="1">
      <c r="A1462" s="33" t="s">
        <v>79</v>
      </c>
      <c r="B1462" s="33" t="s">
        <v>43</v>
      </c>
      <c r="C1462" s="33" t="s">
        <v>43</v>
      </c>
      <c r="D1462" s="33" t="s">
        <v>18</v>
      </c>
      <c r="E1462" s="34">
        <v>228.28</v>
      </c>
      <c r="F1462" s="33" t="s">
        <v>1507</v>
      </c>
    </row>
    <row r="1463" ht="15.75" customHeight="1">
      <c r="A1463" s="33" t="s">
        <v>79</v>
      </c>
      <c r="B1463" s="33" t="s">
        <v>29</v>
      </c>
      <c r="C1463" s="33" t="s">
        <v>29</v>
      </c>
      <c r="D1463" s="33" t="s">
        <v>28</v>
      </c>
      <c r="E1463" s="34">
        <v>29624.14</v>
      </c>
      <c r="F1463" s="33" t="s">
        <v>1877</v>
      </c>
    </row>
    <row r="1464" ht="15.75" customHeight="1">
      <c r="A1464" s="33" t="s">
        <v>79</v>
      </c>
      <c r="B1464" s="33" t="s">
        <v>120</v>
      </c>
      <c r="C1464" s="33" t="s">
        <v>819</v>
      </c>
      <c r="D1464" s="33" t="s">
        <v>14</v>
      </c>
      <c r="E1464" s="34">
        <v>739.77</v>
      </c>
      <c r="F1464" s="33" t="s">
        <v>1878</v>
      </c>
    </row>
    <row r="1465" ht="15.75" customHeight="1">
      <c r="A1465" s="33" t="s">
        <v>79</v>
      </c>
      <c r="B1465" s="33" t="s">
        <v>161</v>
      </c>
      <c r="C1465" s="33" t="s">
        <v>596</v>
      </c>
      <c r="D1465" s="33" t="s">
        <v>38</v>
      </c>
      <c r="E1465" s="34">
        <v>274.58</v>
      </c>
      <c r="F1465" s="33" t="s">
        <v>1339</v>
      </c>
    </row>
    <row r="1466" ht="15.75" customHeight="1">
      <c r="A1466" s="33" t="s">
        <v>79</v>
      </c>
      <c r="B1466" s="33" t="s">
        <v>338</v>
      </c>
      <c r="C1466" s="33" t="s">
        <v>338</v>
      </c>
      <c r="D1466" s="33" t="s">
        <v>16</v>
      </c>
      <c r="E1466" s="34">
        <v>50.0</v>
      </c>
      <c r="F1466" s="33" t="s">
        <v>1879</v>
      </c>
    </row>
    <row r="1467" ht="15.75" customHeight="1">
      <c r="A1467" s="33" t="s">
        <v>79</v>
      </c>
      <c r="B1467" s="33" t="s">
        <v>292</v>
      </c>
      <c r="C1467" s="33" t="s">
        <v>292</v>
      </c>
      <c r="D1467" s="33" t="s">
        <v>18</v>
      </c>
      <c r="E1467" s="34">
        <v>254.16</v>
      </c>
      <c r="F1467" s="33" t="s">
        <v>599</v>
      </c>
    </row>
    <row r="1468" ht="15.75" customHeight="1">
      <c r="A1468" s="33" t="s">
        <v>79</v>
      </c>
      <c r="B1468" s="33" t="s">
        <v>163</v>
      </c>
      <c r="C1468" s="33" t="s">
        <v>163</v>
      </c>
      <c r="D1468" s="33" t="s">
        <v>14</v>
      </c>
      <c r="E1468" s="34">
        <v>902.46</v>
      </c>
      <c r="F1468" s="33" t="s">
        <v>1880</v>
      </c>
    </row>
    <row r="1469" ht="15.75" customHeight="1">
      <c r="A1469" s="33" t="s">
        <v>79</v>
      </c>
      <c r="B1469" s="33" t="s">
        <v>205</v>
      </c>
      <c r="C1469" s="33" t="s">
        <v>205</v>
      </c>
      <c r="D1469" s="33" t="s">
        <v>14</v>
      </c>
      <c r="E1469" s="34">
        <v>4000.0</v>
      </c>
      <c r="F1469" s="33" t="s">
        <v>1881</v>
      </c>
    </row>
    <row r="1470" ht="15.75" customHeight="1">
      <c r="A1470" s="33" t="s">
        <v>79</v>
      </c>
      <c r="B1470" s="33" t="s">
        <v>180</v>
      </c>
      <c r="C1470" s="33" t="s">
        <v>180</v>
      </c>
      <c r="D1470" s="33" t="s">
        <v>36</v>
      </c>
      <c r="E1470" s="34">
        <v>949.45</v>
      </c>
      <c r="F1470" s="33" t="s">
        <v>1882</v>
      </c>
    </row>
    <row r="1471" ht="15.75" customHeight="1">
      <c r="A1471" s="33" t="s">
        <v>79</v>
      </c>
      <c r="B1471" s="33" t="s">
        <v>369</v>
      </c>
      <c r="C1471" s="33" t="s">
        <v>369</v>
      </c>
      <c r="D1471" s="33" t="s">
        <v>36</v>
      </c>
      <c r="E1471" s="34">
        <v>64.52</v>
      </c>
      <c r="F1471" s="33" t="s">
        <v>1883</v>
      </c>
    </row>
    <row r="1472" ht="15.75" customHeight="1">
      <c r="A1472" s="33" t="s">
        <v>79</v>
      </c>
      <c r="B1472" s="33" t="s">
        <v>382</v>
      </c>
      <c r="C1472" s="33" t="s">
        <v>382</v>
      </c>
      <c r="D1472" s="33" t="s">
        <v>36</v>
      </c>
      <c r="E1472" s="34">
        <v>54.01</v>
      </c>
      <c r="F1472" s="33" t="s">
        <v>1884</v>
      </c>
    </row>
    <row r="1473" ht="15.75" customHeight="1">
      <c r="A1473" s="33" t="s">
        <v>79</v>
      </c>
      <c r="B1473" s="33" t="s">
        <v>246</v>
      </c>
      <c r="C1473" s="33" t="s">
        <v>246</v>
      </c>
      <c r="D1473" s="33" t="s">
        <v>42</v>
      </c>
      <c r="E1473" s="34">
        <v>383.0</v>
      </c>
      <c r="F1473" s="33" t="s">
        <v>1885</v>
      </c>
    </row>
    <row r="1474" ht="15.75" customHeight="1">
      <c r="A1474" s="33" t="s">
        <v>79</v>
      </c>
      <c r="B1474" s="33" t="s">
        <v>138</v>
      </c>
      <c r="C1474" s="33" t="s">
        <v>527</v>
      </c>
      <c r="D1474" s="33" t="s">
        <v>18</v>
      </c>
      <c r="E1474" s="34">
        <v>2378.0</v>
      </c>
      <c r="F1474" s="33" t="s">
        <v>1886</v>
      </c>
    </row>
    <row r="1475" ht="15.75" customHeight="1">
      <c r="A1475" s="33" t="s">
        <v>79</v>
      </c>
      <c r="B1475" s="33" t="s">
        <v>278</v>
      </c>
      <c r="C1475" s="33" t="s">
        <v>846</v>
      </c>
      <c r="D1475" s="33" t="s">
        <v>14</v>
      </c>
      <c r="E1475" s="34">
        <v>845.0</v>
      </c>
      <c r="F1475" s="33" t="s">
        <v>1887</v>
      </c>
    </row>
    <row r="1476" ht="15.75" customHeight="1">
      <c r="A1476" s="33" t="s">
        <v>79</v>
      </c>
      <c r="B1476" s="33" t="s">
        <v>287</v>
      </c>
      <c r="C1476" s="33" t="s">
        <v>1888</v>
      </c>
      <c r="D1476" s="33" t="s">
        <v>14</v>
      </c>
      <c r="E1476" s="34">
        <v>2650.85</v>
      </c>
      <c r="F1476" s="33" t="s">
        <v>1889</v>
      </c>
    </row>
    <row r="1477" ht="15.75" customHeight="1">
      <c r="A1477" s="33" t="s">
        <v>79</v>
      </c>
      <c r="B1477" s="33" t="s">
        <v>90</v>
      </c>
      <c r="C1477" s="33" t="s">
        <v>536</v>
      </c>
      <c r="D1477" s="33" t="s">
        <v>18</v>
      </c>
      <c r="E1477" s="34">
        <v>147346.0</v>
      </c>
      <c r="F1477" s="33" t="s">
        <v>1890</v>
      </c>
    </row>
    <row r="1478" ht="15.75" customHeight="1">
      <c r="A1478" s="33" t="s">
        <v>79</v>
      </c>
      <c r="B1478" s="33" t="s">
        <v>113</v>
      </c>
      <c r="C1478" s="33" t="s">
        <v>540</v>
      </c>
      <c r="D1478" s="33" t="s">
        <v>14</v>
      </c>
      <c r="E1478" s="34">
        <v>3049.04</v>
      </c>
      <c r="F1478" s="33" t="s">
        <v>1855</v>
      </c>
    </row>
    <row r="1479" ht="15.75" customHeight="1">
      <c r="A1479" s="33" t="s">
        <v>79</v>
      </c>
      <c r="B1479" s="33" t="s">
        <v>291</v>
      </c>
      <c r="C1479" s="33" t="s">
        <v>291</v>
      </c>
      <c r="D1479" s="33" t="s">
        <v>38</v>
      </c>
      <c r="E1479" s="34">
        <v>79.2</v>
      </c>
      <c r="F1479" s="33" t="s">
        <v>1308</v>
      </c>
    </row>
    <row r="1480" ht="15.75" customHeight="1">
      <c r="A1480" s="33" t="s">
        <v>79</v>
      </c>
      <c r="B1480" s="33" t="s">
        <v>127</v>
      </c>
      <c r="C1480" s="33" t="s">
        <v>127</v>
      </c>
      <c r="D1480" s="33" t="s">
        <v>36</v>
      </c>
      <c r="E1480" s="34">
        <v>587.94</v>
      </c>
      <c r="F1480" s="33" t="s">
        <v>1891</v>
      </c>
    </row>
    <row r="1481" ht="15.75" customHeight="1">
      <c r="A1481" s="33" t="s">
        <v>79</v>
      </c>
      <c r="B1481" s="33" t="s">
        <v>142</v>
      </c>
      <c r="C1481" s="33" t="s">
        <v>142</v>
      </c>
      <c r="D1481" s="33" t="s">
        <v>36</v>
      </c>
      <c r="E1481" s="34">
        <v>2048.08</v>
      </c>
      <c r="F1481" s="33" t="s">
        <v>543</v>
      </c>
    </row>
    <row r="1482" ht="15.75" customHeight="1">
      <c r="A1482" s="33" t="s">
        <v>79</v>
      </c>
      <c r="B1482" s="33" t="s">
        <v>116</v>
      </c>
      <c r="C1482" s="33" t="s">
        <v>116</v>
      </c>
      <c r="D1482" s="33" t="s">
        <v>20</v>
      </c>
      <c r="E1482" s="34">
        <v>1252.0</v>
      </c>
      <c r="F1482" s="33" t="s">
        <v>1892</v>
      </c>
    </row>
    <row r="1483" ht="15.75" customHeight="1">
      <c r="A1483" s="33" t="s">
        <v>79</v>
      </c>
      <c r="B1483" s="33" t="s">
        <v>150</v>
      </c>
      <c r="C1483" s="33" t="s">
        <v>551</v>
      </c>
      <c r="D1483" s="33" t="s">
        <v>26</v>
      </c>
      <c r="E1483" s="34">
        <v>321.0</v>
      </c>
      <c r="F1483" s="33" t="s">
        <v>1527</v>
      </c>
    </row>
    <row r="1484" ht="15.75" customHeight="1">
      <c r="A1484" s="33" t="s">
        <v>79</v>
      </c>
      <c r="B1484" s="33" t="s">
        <v>277</v>
      </c>
      <c r="C1484" s="33" t="s">
        <v>277</v>
      </c>
      <c r="D1484" s="33" t="s">
        <v>14</v>
      </c>
      <c r="E1484" s="34">
        <v>430.38</v>
      </c>
      <c r="F1484" s="33" t="s">
        <v>1893</v>
      </c>
    </row>
    <row r="1485" ht="15.75" customHeight="1">
      <c r="A1485" s="33" t="s">
        <v>79</v>
      </c>
      <c r="B1485" s="33" t="s">
        <v>349</v>
      </c>
      <c r="C1485" s="33" t="s">
        <v>349</v>
      </c>
      <c r="D1485" s="33" t="s">
        <v>18</v>
      </c>
      <c r="E1485" s="34">
        <v>1059.98</v>
      </c>
      <c r="F1485" s="33" t="s">
        <v>1894</v>
      </c>
    </row>
    <row r="1486" ht="15.75" customHeight="1">
      <c r="A1486" s="33" t="s">
        <v>79</v>
      </c>
      <c r="B1486" s="33" t="s">
        <v>196</v>
      </c>
      <c r="C1486" s="33" t="s">
        <v>196</v>
      </c>
      <c r="D1486" s="33" t="s">
        <v>30</v>
      </c>
      <c r="E1486" s="34">
        <v>183.95</v>
      </c>
      <c r="F1486" s="33" t="s">
        <v>1532</v>
      </c>
    </row>
    <row r="1487" ht="15.75" customHeight="1">
      <c r="A1487" s="33" t="s">
        <v>79</v>
      </c>
      <c r="B1487" s="33" t="s">
        <v>96</v>
      </c>
      <c r="C1487" s="33" t="s">
        <v>925</v>
      </c>
      <c r="D1487" s="33" t="s">
        <v>20</v>
      </c>
      <c r="E1487" s="34">
        <v>4254.25</v>
      </c>
      <c r="F1487" s="33" t="s">
        <v>1825</v>
      </c>
    </row>
    <row r="1488" ht="15.75" customHeight="1">
      <c r="A1488" s="33" t="s">
        <v>79</v>
      </c>
      <c r="B1488" s="33" t="s">
        <v>224</v>
      </c>
      <c r="C1488" s="33" t="s">
        <v>224</v>
      </c>
      <c r="D1488" s="33" t="s">
        <v>38</v>
      </c>
      <c r="E1488" s="34">
        <v>1802.69</v>
      </c>
      <c r="F1488" s="33" t="s">
        <v>1895</v>
      </c>
    </row>
    <row r="1489" ht="15.75" customHeight="1">
      <c r="A1489" s="33" t="s">
        <v>79</v>
      </c>
      <c r="B1489" s="33" t="s">
        <v>201</v>
      </c>
      <c r="C1489" s="33" t="s">
        <v>201</v>
      </c>
      <c r="D1489" s="33" t="s">
        <v>14</v>
      </c>
      <c r="E1489" s="34">
        <v>4739.27</v>
      </c>
      <c r="F1489" s="33" t="s">
        <v>1896</v>
      </c>
    </row>
    <row r="1490" ht="15.75" customHeight="1">
      <c r="A1490" s="33" t="s">
        <v>79</v>
      </c>
      <c r="B1490" s="33" t="s">
        <v>186</v>
      </c>
      <c r="C1490" s="33" t="s">
        <v>186</v>
      </c>
      <c r="D1490" s="33" t="s">
        <v>18</v>
      </c>
      <c r="E1490" s="34">
        <v>1718.49</v>
      </c>
      <c r="F1490" s="33" t="s">
        <v>1897</v>
      </c>
    </row>
    <row r="1491" ht="15.75" customHeight="1">
      <c r="A1491" s="33" t="s">
        <v>79</v>
      </c>
      <c r="B1491" s="33" t="s">
        <v>99</v>
      </c>
      <c r="C1491" s="33" t="s">
        <v>99</v>
      </c>
      <c r="D1491" s="33" t="s">
        <v>16</v>
      </c>
      <c r="E1491" s="34">
        <v>3590.0</v>
      </c>
      <c r="F1491" s="33" t="s">
        <v>1898</v>
      </c>
    </row>
    <row r="1492" ht="15.75" customHeight="1">
      <c r="A1492" s="33" t="s">
        <v>79</v>
      </c>
      <c r="B1492" s="33" t="s">
        <v>215</v>
      </c>
      <c r="C1492" s="33" t="s">
        <v>215</v>
      </c>
      <c r="D1492" s="33" t="s">
        <v>40</v>
      </c>
      <c r="E1492" s="34">
        <v>7600.0</v>
      </c>
      <c r="F1492" s="33" t="s">
        <v>1899</v>
      </c>
    </row>
    <row r="1493" ht="15.75" customHeight="1">
      <c r="A1493" s="33" t="s">
        <v>79</v>
      </c>
      <c r="B1493" s="33" t="s">
        <v>252</v>
      </c>
      <c r="C1493" s="33" t="s">
        <v>252</v>
      </c>
      <c r="D1493" s="33" t="s">
        <v>14</v>
      </c>
      <c r="E1493" s="34">
        <v>436.45</v>
      </c>
      <c r="F1493" s="33" t="s">
        <v>1900</v>
      </c>
    </row>
    <row r="1494" ht="15.75" customHeight="1">
      <c r="A1494" s="33" t="s">
        <v>79</v>
      </c>
      <c r="B1494" s="33" t="s">
        <v>354</v>
      </c>
      <c r="C1494" s="33" t="s">
        <v>354</v>
      </c>
      <c r="D1494" s="33" t="s">
        <v>14</v>
      </c>
      <c r="E1494" s="34">
        <v>1000.0</v>
      </c>
      <c r="F1494" s="33" t="s">
        <v>1901</v>
      </c>
    </row>
    <row r="1495" ht="15.75" customHeight="1">
      <c r="A1495" s="33" t="s">
        <v>79</v>
      </c>
      <c r="B1495" s="33" t="s">
        <v>244</v>
      </c>
      <c r="C1495" s="33" t="s">
        <v>1386</v>
      </c>
      <c r="D1495" s="33" t="s">
        <v>14</v>
      </c>
      <c r="E1495" s="34">
        <v>3468.45</v>
      </c>
      <c r="F1495" s="33" t="s">
        <v>1902</v>
      </c>
    </row>
    <row r="1496" ht="15.75" customHeight="1">
      <c r="A1496" s="33" t="s">
        <v>79</v>
      </c>
      <c r="B1496" s="33" t="s">
        <v>190</v>
      </c>
      <c r="C1496" s="33" t="s">
        <v>190</v>
      </c>
      <c r="D1496" s="33" t="s">
        <v>40</v>
      </c>
      <c r="E1496" s="34">
        <v>344.58</v>
      </c>
      <c r="F1496" s="33" t="s">
        <v>1903</v>
      </c>
    </row>
    <row r="1497" ht="15.75" customHeight="1">
      <c r="A1497" s="33" t="s">
        <v>79</v>
      </c>
      <c r="B1497" s="33" t="s">
        <v>121</v>
      </c>
      <c r="C1497" s="33" t="s">
        <v>121</v>
      </c>
      <c r="D1497" s="33" t="s">
        <v>14</v>
      </c>
      <c r="E1497" s="34">
        <v>9050.0</v>
      </c>
      <c r="F1497" s="33" t="s">
        <v>1904</v>
      </c>
    </row>
    <row r="1498" ht="15.75" customHeight="1">
      <c r="A1498" s="33" t="s">
        <v>79</v>
      </c>
      <c r="B1498" s="33" t="s">
        <v>298</v>
      </c>
      <c r="C1498" s="33" t="s">
        <v>594</v>
      </c>
      <c r="D1498" s="33" t="s">
        <v>14</v>
      </c>
      <c r="E1498" s="34">
        <v>137.04</v>
      </c>
      <c r="F1498" s="33" t="s">
        <v>595</v>
      </c>
    </row>
    <row r="1499" ht="15.75" customHeight="1">
      <c r="A1499" s="33" t="s">
        <v>79</v>
      </c>
      <c r="B1499" s="33" t="s">
        <v>161</v>
      </c>
      <c r="C1499" s="33" t="s">
        <v>596</v>
      </c>
      <c r="D1499" s="33" t="s">
        <v>38</v>
      </c>
      <c r="E1499" s="34">
        <v>606.9</v>
      </c>
      <c r="F1499" s="33" t="s">
        <v>1905</v>
      </c>
    </row>
    <row r="1500" ht="15.75" customHeight="1">
      <c r="A1500" s="33" t="s">
        <v>79</v>
      </c>
      <c r="B1500" s="33" t="s">
        <v>179</v>
      </c>
      <c r="C1500" s="33" t="s">
        <v>716</v>
      </c>
      <c r="D1500" s="33" t="s">
        <v>14</v>
      </c>
      <c r="E1500" s="34">
        <v>81.82</v>
      </c>
      <c r="F1500" s="33" t="s">
        <v>1795</v>
      </c>
    </row>
    <row r="1501" ht="15.75" customHeight="1">
      <c r="A1501" s="33" t="s">
        <v>79</v>
      </c>
      <c r="B1501" s="33" t="s">
        <v>338</v>
      </c>
      <c r="C1501" s="33" t="s">
        <v>338</v>
      </c>
      <c r="D1501" s="33" t="s">
        <v>16</v>
      </c>
      <c r="E1501" s="34">
        <v>50.0</v>
      </c>
      <c r="F1501" s="33" t="s">
        <v>1906</v>
      </c>
    </row>
    <row r="1502" ht="15.75" customHeight="1">
      <c r="A1502" s="33" t="s">
        <v>79</v>
      </c>
      <c r="B1502" s="33" t="s">
        <v>163</v>
      </c>
      <c r="C1502" s="33" t="s">
        <v>163</v>
      </c>
      <c r="D1502" s="33" t="s">
        <v>14</v>
      </c>
      <c r="E1502" s="34">
        <v>1094.39</v>
      </c>
      <c r="F1502" s="33" t="s">
        <v>1907</v>
      </c>
    </row>
    <row r="1503" ht="15.75" customHeight="1">
      <c r="A1503" s="33" t="s">
        <v>79</v>
      </c>
      <c r="B1503" s="33" t="s">
        <v>328</v>
      </c>
      <c r="C1503" s="33" t="s">
        <v>328</v>
      </c>
      <c r="D1503" s="33" t="s">
        <v>36</v>
      </c>
      <c r="E1503" s="34">
        <v>109.36</v>
      </c>
      <c r="F1503" s="33" t="s">
        <v>600</v>
      </c>
    </row>
    <row r="1504" ht="15.75" customHeight="1">
      <c r="A1504" s="33" t="s">
        <v>79</v>
      </c>
      <c r="B1504" s="33" t="s">
        <v>243</v>
      </c>
      <c r="C1504" s="33" t="s">
        <v>243</v>
      </c>
      <c r="D1504" s="33" t="s">
        <v>14</v>
      </c>
      <c r="E1504" s="34">
        <v>425.76</v>
      </c>
      <c r="F1504" s="33" t="s">
        <v>604</v>
      </c>
    </row>
    <row r="1505" ht="15.75" customHeight="1">
      <c r="A1505" s="33" t="s">
        <v>79</v>
      </c>
      <c r="B1505" s="33" t="s">
        <v>346</v>
      </c>
      <c r="C1505" s="33" t="s">
        <v>346</v>
      </c>
      <c r="D1505" s="33" t="s">
        <v>14</v>
      </c>
      <c r="E1505" s="34">
        <v>427.25</v>
      </c>
      <c r="F1505" s="33" t="s">
        <v>1908</v>
      </c>
    </row>
    <row r="1506" ht="15.75" customHeight="1">
      <c r="A1506" s="33" t="s">
        <v>80</v>
      </c>
      <c r="B1506" s="33" t="s">
        <v>132</v>
      </c>
      <c r="C1506" s="33" t="s">
        <v>132</v>
      </c>
      <c r="D1506" s="33" t="s">
        <v>30</v>
      </c>
      <c r="E1506" s="34">
        <v>3200.0</v>
      </c>
      <c r="F1506" s="33" t="s">
        <v>1909</v>
      </c>
    </row>
    <row r="1507" ht="15.75" customHeight="1">
      <c r="A1507" s="33" t="s">
        <v>80</v>
      </c>
      <c r="B1507" s="33" t="s">
        <v>307</v>
      </c>
      <c r="C1507" s="33" t="s">
        <v>307</v>
      </c>
      <c r="D1507" s="33" t="s">
        <v>14</v>
      </c>
      <c r="E1507" s="34">
        <v>1849.27</v>
      </c>
      <c r="F1507" s="33" t="s">
        <v>1910</v>
      </c>
    </row>
    <row r="1508" ht="15.75" customHeight="1">
      <c r="A1508" s="33" t="s">
        <v>80</v>
      </c>
      <c r="B1508" s="33" t="s">
        <v>110</v>
      </c>
      <c r="C1508" s="33" t="s">
        <v>110</v>
      </c>
      <c r="D1508" s="33" t="s">
        <v>36</v>
      </c>
      <c r="E1508" s="34">
        <v>5248.58</v>
      </c>
      <c r="F1508" s="33" t="s">
        <v>1911</v>
      </c>
    </row>
    <row r="1509" ht="15.75" customHeight="1">
      <c r="A1509" s="33" t="s">
        <v>80</v>
      </c>
      <c r="B1509" s="33" t="s">
        <v>194</v>
      </c>
      <c r="C1509" s="33" t="s">
        <v>194</v>
      </c>
      <c r="D1509" s="33" t="s">
        <v>14</v>
      </c>
      <c r="E1509" s="34">
        <v>10000.0</v>
      </c>
      <c r="F1509" s="33" t="s">
        <v>1304</v>
      </c>
    </row>
    <row r="1510" ht="15.75" customHeight="1">
      <c r="A1510" s="33" t="s">
        <v>80</v>
      </c>
      <c r="B1510" s="33" t="s">
        <v>236</v>
      </c>
      <c r="C1510" s="33" t="s">
        <v>236</v>
      </c>
      <c r="D1510" s="33" t="s">
        <v>14</v>
      </c>
      <c r="E1510" s="34">
        <v>13.99</v>
      </c>
      <c r="F1510" s="33" t="s">
        <v>1912</v>
      </c>
    </row>
    <row r="1511" ht="15.75" customHeight="1">
      <c r="A1511" s="33" t="s">
        <v>80</v>
      </c>
      <c r="B1511" s="33" t="s">
        <v>327</v>
      </c>
      <c r="C1511" s="33" t="s">
        <v>327</v>
      </c>
      <c r="D1511" s="33" t="s">
        <v>14</v>
      </c>
      <c r="E1511" s="34">
        <v>1430.0</v>
      </c>
      <c r="F1511" s="33" t="s">
        <v>1913</v>
      </c>
    </row>
    <row r="1512" ht="15.75" customHeight="1">
      <c r="A1512" s="33" t="s">
        <v>80</v>
      </c>
      <c r="B1512" s="33" t="s">
        <v>357</v>
      </c>
      <c r="C1512" s="33" t="s">
        <v>357</v>
      </c>
      <c r="D1512" s="33" t="s">
        <v>14</v>
      </c>
      <c r="E1512" s="34">
        <v>459.0</v>
      </c>
      <c r="F1512" s="33" t="s">
        <v>1914</v>
      </c>
    </row>
    <row r="1513" ht="15.75" customHeight="1">
      <c r="A1513" s="33" t="s">
        <v>80</v>
      </c>
      <c r="B1513" s="33" t="s">
        <v>137</v>
      </c>
      <c r="C1513" s="33" t="s">
        <v>137</v>
      </c>
      <c r="D1513" s="33" t="s">
        <v>18</v>
      </c>
      <c r="E1513" s="34">
        <v>1506.79</v>
      </c>
      <c r="F1513" s="33" t="s">
        <v>1915</v>
      </c>
    </row>
    <row r="1514" ht="15.75" customHeight="1">
      <c r="A1514" s="33" t="s">
        <v>80</v>
      </c>
      <c r="B1514" s="33" t="s">
        <v>90</v>
      </c>
      <c r="C1514" s="33" t="s">
        <v>536</v>
      </c>
      <c r="D1514" s="33" t="s">
        <v>18</v>
      </c>
      <c r="E1514" s="34">
        <v>279.9</v>
      </c>
      <c r="F1514" s="33" t="s">
        <v>1916</v>
      </c>
    </row>
    <row r="1515" ht="15.75" customHeight="1">
      <c r="A1515" s="33" t="s">
        <v>80</v>
      </c>
      <c r="B1515" s="33" t="s">
        <v>113</v>
      </c>
      <c r="C1515" s="33" t="s">
        <v>540</v>
      </c>
      <c r="D1515" s="33" t="s">
        <v>14</v>
      </c>
      <c r="E1515" s="34">
        <v>3948.33</v>
      </c>
      <c r="F1515" s="33" t="s">
        <v>1917</v>
      </c>
    </row>
    <row r="1516" ht="15.75" customHeight="1">
      <c r="A1516" s="33" t="s">
        <v>80</v>
      </c>
      <c r="B1516" s="33" t="s">
        <v>291</v>
      </c>
      <c r="C1516" s="33" t="s">
        <v>291</v>
      </c>
      <c r="D1516" s="33" t="s">
        <v>38</v>
      </c>
      <c r="E1516" s="34">
        <v>181.35</v>
      </c>
      <c r="F1516" s="33" t="s">
        <v>1918</v>
      </c>
    </row>
    <row r="1517" ht="15.75" customHeight="1">
      <c r="A1517" s="33" t="s">
        <v>80</v>
      </c>
      <c r="B1517" s="33" t="s">
        <v>127</v>
      </c>
      <c r="C1517" s="33" t="s">
        <v>127</v>
      </c>
      <c r="D1517" s="33" t="s">
        <v>36</v>
      </c>
      <c r="E1517" s="34">
        <v>1840.79</v>
      </c>
      <c r="F1517" s="33" t="s">
        <v>1919</v>
      </c>
    </row>
    <row r="1518" ht="15.75" customHeight="1">
      <c r="A1518" s="33" t="s">
        <v>80</v>
      </c>
      <c r="B1518" s="33" t="s">
        <v>329</v>
      </c>
      <c r="C1518" s="33" t="s">
        <v>329</v>
      </c>
      <c r="D1518" s="33" t="s">
        <v>14</v>
      </c>
      <c r="E1518" s="34">
        <v>112.0</v>
      </c>
      <c r="F1518" s="33" t="s">
        <v>648</v>
      </c>
    </row>
    <row r="1519" ht="15.75" customHeight="1">
      <c r="A1519" s="33" t="s">
        <v>80</v>
      </c>
      <c r="B1519" s="33" t="s">
        <v>100</v>
      </c>
      <c r="C1519" s="33" t="s">
        <v>626</v>
      </c>
      <c r="D1519" s="33" t="s">
        <v>22</v>
      </c>
      <c r="E1519" s="34">
        <v>1104.0</v>
      </c>
      <c r="F1519" s="33" t="s">
        <v>1764</v>
      </c>
    </row>
    <row r="1520" ht="15.75" customHeight="1">
      <c r="A1520" s="33" t="s">
        <v>80</v>
      </c>
      <c r="B1520" s="33" t="s">
        <v>301</v>
      </c>
      <c r="C1520" s="33" t="s">
        <v>547</v>
      </c>
      <c r="D1520" s="33" t="s">
        <v>14</v>
      </c>
      <c r="E1520" s="34">
        <v>578.6</v>
      </c>
      <c r="F1520" s="33" t="s">
        <v>1920</v>
      </c>
    </row>
    <row r="1521" ht="15.75" customHeight="1">
      <c r="A1521" s="33" t="s">
        <v>80</v>
      </c>
      <c r="B1521" s="33" t="s">
        <v>141</v>
      </c>
      <c r="C1521" s="33" t="s">
        <v>141</v>
      </c>
      <c r="D1521" s="33" t="s">
        <v>14</v>
      </c>
      <c r="E1521" s="34">
        <v>2225.72</v>
      </c>
      <c r="F1521" s="33" t="s">
        <v>1921</v>
      </c>
    </row>
    <row r="1522" ht="15.75" customHeight="1">
      <c r="A1522" s="33" t="s">
        <v>80</v>
      </c>
      <c r="B1522" s="33" t="s">
        <v>196</v>
      </c>
      <c r="C1522" s="33" t="s">
        <v>196</v>
      </c>
      <c r="D1522" s="33" t="s">
        <v>30</v>
      </c>
      <c r="E1522" s="34">
        <v>183.95</v>
      </c>
      <c r="F1522" s="33" t="s">
        <v>1532</v>
      </c>
    </row>
    <row r="1523" ht="15.75" customHeight="1">
      <c r="A1523" s="33" t="s">
        <v>80</v>
      </c>
      <c r="B1523" s="33" t="s">
        <v>178</v>
      </c>
      <c r="C1523" s="33" t="s">
        <v>1922</v>
      </c>
      <c r="D1523" s="33" t="s">
        <v>14</v>
      </c>
      <c r="E1523" s="34">
        <v>11714.21</v>
      </c>
      <c r="F1523" s="33" t="s">
        <v>1923</v>
      </c>
    </row>
    <row r="1524" ht="15.75" customHeight="1">
      <c r="A1524" s="33" t="s">
        <v>80</v>
      </c>
      <c r="B1524" s="33" t="s">
        <v>290</v>
      </c>
      <c r="C1524" s="33" t="s">
        <v>568</v>
      </c>
      <c r="D1524" s="33" t="s">
        <v>14</v>
      </c>
      <c r="E1524" s="34">
        <v>255.0</v>
      </c>
      <c r="F1524" s="33" t="s">
        <v>1325</v>
      </c>
    </row>
    <row r="1525" ht="15.75" customHeight="1">
      <c r="A1525" s="33" t="s">
        <v>80</v>
      </c>
      <c r="B1525" s="33" t="s">
        <v>93</v>
      </c>
      <c r="C1525" s="33" t="s">
        <v>93</v>
      </c>
      <c r="D1525" s="33" t="s">
        <v>16</v>
      </c>
      <c r="E1525" s="34">
        <v>88.0</v>
      </c>
      <c r="F1525" s="33" t="s">
        <v>1924</v>
      </c>
    </row>
    <row r="1526" ht="15.75" customHeight="1">
      <c r="A1526" s="33" t="s">
        <v>80</v>
      </c>
      <c r="B1526" s="33" t="s">
        <v>186</v>
      </c>
      <c r="C1526" s="33" t="s">
        <v>186</v>
      </c>
      <c r="D1526" s="33" t="s">
        <v>18</v>
      </c>
      <c r="E1526" s="34">
        <v>370.07</v>
      </c>
      <c r="F1526" s="33" t="s">
        <v>1925</v>
      </c>
    </row>
    <row r="1527" ht="15.75" customHeight="1">
      <c r="A1527" s="33" t="s">
        <v>80</v>
      </c>
      <c r="B1527" s="33" t="s">
        <v>99</v>
      </c>
      <c r="C1527" s="33" t="s">
        <v>99</v>
      </c>
      <c r="D1527" s="33" t="s">
        <v>16</v>
      </c>
      <c r="E1527" s="34">
        <v>3640.0</v>
      </c>
      <c r="F1527" s="33" t="s">
        <v>1926</v>
      </c>
    </row>
    <row r="1528" ht="15.75" customHeight="1">
      <c r="A1528" s="33" t="s">
        <v>80</v>
      </c>
      <c r="B1528" s="33" t="s">
        <v>234</v>
      </c>
      <c r="C1528" s="33" t="s">
        <v>234</v>
      </c>
      <c r="D1528" s="33" t="s">
        <v>14</v>
      </c>
      <c r="E1528" s="34">
        <v>857.92</v>
      </c>
      <c r="F1528" s="33" t="s">
        <v>1927</v>
      </c>
    </row>
    <row r="1529" ht="15.75" customHeight="1">
      <c r="A1529" s="33" t="s">
        <v>80</v>
      </c>
      <c r="B1529" s="33" t="s">
        <v>103</v>
      </c>
      <c r="C1529" s="33" t="s">
        <v>103</v>
      </c>
      <c r="D1529" s="33" t="s">
        <v>30</v>
      </c>
      <c r="E1529" s="34">
        <v>6549.3</v>
      </c>
      <c r="F1529" s="33" t="s">
        <v>1928</v>
      </c>
    </row>
    <row r="1530" ht="15.75" customHeight="1">
      <c r="A1530" s="33" t="s">
        <v>80</v>
      </c>
      <c r="B1530" s="33" t="s">
        <v>311</v>
      </c>
      <c r="C1530" s="33" t="s">
        <v>311</v>
      </c>
      <c r="D1530" s="33" t="s">
        <v>14</v>
      </c>
      <c r="E1530" s="34">
        <v>210.11</v>
      </c>
      <c r="F1530" s="33" t="s">
        <v>1929</v>
      </c>
    </row>
    <row r="1531" ht="15.75" customHeight="1">
      <c r="A1531" s="33" t="s">
        <v>80</v>
      </c>
      <c r="B1531" s="33" t="s">
        <v>161</v>
      </c>
      <c r="C1531" s="33" t="s">
        <v>596</v>
      </c>
      <c r="D1531" s="33" t="s">
        <v>38</v>
      </c>
      <c r="E1531" s="34">
        <v>422.96</v>
      </c>
      <c r="F1531" s="33" t="s">
        <v>1930</v>
      </c>
    </row>
    <row r="1532" ht="15.75" customHeight="1">
      <c r="A1532" s="33" t="s">
        <v>80</v>
      </c>
      <c r="B1532" s="33" t="s">
        <v>179</v>
      </c>
      <c r="C1532" s="33" t="s">
        <v>716</v>
      </c>
      <c r="D1532" s="33" t="s">
        <v>14</v>
      </c>
      <c r="E1532" s="34">
        <v>426.04</v>
      </c>
      <c r="F1532" s="33" t="s">
        <v>1795</v>
      </c>
    </row>
    <row r="1533" ht="15.75" customHeight="1">
      <c r="A1533" s="33" t="s">
        <v>80</v>
      </c>
      <c r="B1533" s="33" t="s">
        <v>338</v>
      </c>
      <c r="C1533" s="33" t="s">
        <v>338</v>
      </c>
      <c r="D1533" s="33" t="s">
        <v>16</v>
      </c>
      <c r="E1533" s="34">
        <v>50.0</v>
      </c>
      <c r="F1533" s="33" t="s">
        <v>1931</v>
      </c>
    </row>
    <row r="1534" ht="15.75" customHeight="1">
      <c r="A1534" s="33" t="s">
        <v>80</v>
      </c>
      <c r="B1534" s="33" t="s">
        <v>185</v>
      </c>
      <c r="C1534" s="33" t="s">
        <v>1932</v>
      </c>
      <c r="D1534" s="33" t="s">
        <v>14</v>
      </c>
      <c r="E1534" s="34">
        <v>11115.85</v>
      </c>
      <c r="F1534" s="33" t="s">
        <v>567</v>
      </c>
    </row>
    <row r="1535" ht="15.75" customHeight="1">
      <c r="A1535" s="33" t="s">
        <v>80</v>
      </c>
      <c r="B1535" s="33" t="s">
        <v>217</v>
      </c>
      <c r="C1535" s="33" t="s">
        <v>217</v>
      </c>
      <c r="D1535" s="33" t="s">
        <v>14</v>
      </c>
      <c r="E1535" s="34">
        <v>2500.0</v>
      </c>
      <c r="F1535" s="33" t="s">
        <v>1933</v>
      </c>
    </row>
    <row r="1536" ht="15.75" customHeight="1">
      <c r="A1536" s="33" t="s">
        <v>80</v>
      </c>
      <c r="B1536" s="33" t="s">
        <v>163</v>
      </c>
      <c r="C1536" s="33" t="s">
        <v>163</v>
      </c>
      <c r="D1536" s="33" t="s">
        <v>14</v>
      </c>
      <c r="E1536" s="34">
        <v>463.08</v>
      </c>
      <c r="F1536" s="33" t="s">
        <v>1934</v>
      </c>
    </row>
    <row r="1537" ht="15.75" customHeight="1">
      <c r="A1537" s="33" t="s">
        <v>80</v>
      </c>
      <c r="B1537" s="33" t="s">
        <v>180</v>
      </c>
      <c r="C1537" s="33" t="s">
        <v>180</v>
      </c>
      <c r="D1537" s="33" t="s">
        <v>36</v>
      </c>
      <c r="E1537" s="34">
        <v>943.96</v>
      </c>
      <c r="F1537" s="33" t="s">
        <v>1935</v>
      </c>
    </row>
    <row r="1538" ht="15.75" customHeight="1">
      <c r="A1538" s="33" t="s">
        <v>80</v>
      </c>
      <c r="B1538" s="33" t="s">
        <v>369</v>
      </c>
      <c r="C1538" s="33" t="s">
        <v>369</v>
      </c>
      <c r="D1538" s="33" t="s">
        <v>36</v>
      </c>
      <c r="E1538" s="34">
        <v>64.42</v>
      </c>
      <c r="F1538" s="33" t="s">
        <v>1936</v>
      </c>
    </row>
    <row r="1539" ht="15.75" customHeight="1">
      <c r="A1539" s="33" t="s">
        <v>80</v>
      </c>
      <c r="B1539" s="33" t="s">
        <v>382</v>
      </c>
      <c r="C1539" s="33" t="s">
        <v>382</v>
      </c>
      <c r="D1539" s="33" t="s">
        <v>36</v>
      </c>
      <c r="E1539" s="34">
        <v>54.11</v>
      </c>
      <c r="F1539" s="33" t="s">
        <v>1937</v>
      </c>
    </row>
    <row r="1540" ht="15.75" customHeight="1">
      <c r="A1540" s="33" t="s">
        <v>80</v>
      </c>
      <c r="B1540" s="33" t="s">
        <v>243</v>
      </c>
      <c r="C1540" s="33" t="s">
        <v>243</v>
      </c>
      <c r="D1540" s="33" t="s">
        <v>14</v>
      </c>
      <c r="E1540" s="34">
        <v>425.76</v>
      </c>
      <c r="F1540" s="33" t="s">
        <v>604</v>
      </c>
    </row>
    <row r="1541" ht="15.75" customHeight="1">
      <c r="A1541" s="33" t="s">
        <v>80</v>
      </c>
      <c r="B1541" s="33" t="s">
        <v>170</v>
      </c>
      <c r="C1541" s="33" t="s">
        <v>170</v>
      </c>
      <c r="D1541" s="33" t="s">
        <v>14</v>
      </c>
      <c r="E1541" s="34">
        <v>5450.0</v>
      </c>
      <c r="F1541" s="33" t="s">
        <v>1801</v>
      </c>
    </row>
    <row r="1542" ht="15.75" customHeight="1">
      <c r="A1542" s="33" t="s">
        <v>80</v>
      </c>
      <c r="B1542" s="33" t="s">
        <v>273</v>
      </c>
      <c r="C1542" s="33" t="s">
        <v>273</v>
      </c>
      <c r="D1542" s="33" t="s">
        <v>14</v>
      </c>
      <c r="E1542" s="34">
        <v>17.0</v>
      </c>
      <c r="F1542" s="33" t="s">
        <v>1938</v>
      </c>
    </row>
    <row r="1543" ht="15.75" customHeight="1">
      <c r="A1543" s="33" t="s">
        <v>80</v>
      </c>
      <c r="B1543" s="33" t="s">
        <v>119</v>
      </c>
      <c r="C1543" s="33" t="s">
        <v>119</v>
      </c>
      <c r="D1543" s="33" t="s">
        <v>14</v>
      </c>
      <c r="E1543" s="34">
        <v>2458.98</v>
      </c>
      <c r="F1543" s="33" t="s">
        <v>1939</v>
      </c>
    </row>
    <row r="1544" ht="15.75" customHeight="1">
      <c r="A1544" s="33" t="s">
        <v>81</v>
      </c>
      <c r="B1544" s="33" t="s">
        <v>197</v>
      </c>
      <c r="C1544" s="33" t="s">
        <v>197</v>
      </c>
      <c r="D1544" s="33" t="s">
        <v>14</v>
      </c>
      <c r="E1544" s="34">
        <v>916.67</v>
      </c>
      <c r="F1544" s="33" t="s">
        <v>1940</v>
      </c>
    </row>
    <row r="1545" ht="15.75" customHeight="1">
      <c r="A1545" s="33" t="s">
        <v>81</v>
      </c>
      <c r="B1545" s="33" t="s">
        <v>227</v>
      </c>
      <c r="C1545" s="33" t="s">
        <v>1941</v>
      </c>
      <c r="D1545" s="33" t="s">
        <v>14</v>
      </c>
      <c r="E1545" s="34">
        <v>6300.0</v>
      </c>
      <c r="F1545" s="33" t="s">
        <v>1942</v>
      </c>
    </row>
    <row r="1546" ht="15.75" customHeight="1">
      <c r="A1546" s="33" t="s">
        <v>81</v>
      </c>
      <c r="B1546" s="33" t="s">
        <v>420</v>
      </c>
      <c r="C1546" s="33" t="s">
        <v>420</v>
      </c>
      <c r="D1546" s="33" t="s">
        <v>14</v>
      </c>
      <c r="E1546" s="34">
        <v>200.0</v>
      </c>
      <c r="F1546" s="33" t="s">
        <v>1943</v>
      </c>
    </row>
    <row r="1547" ht="15.75" customHeight="1">
      <c r="A1547" s="33" t="s">
        <v>81</v>
      </c>
      <c r="B1547" s="33" t="s">
        <v>258</v>
      </c>
      <c r="C1547" s="33" t="s">
        <v>258</v>
      </c>
      <c r="D1547" s="33" t="s">
        <v>14</v>
      </c>
      <c r="E1547" s="34">
        <v>2200.0</v>
      </c>
      <c r="F1547" s="33" t="s">
        <v>1944</v>
      </c>
    </row>
    <row r="1548" ht="15.75" customHeight="1">
      <c r="A1548" s="33" t="s">
        <v>81</v>
      </c>
      <c r="B1548" s="33" t="s">
        <v>222</v>
      </c>
      <c r="C1548" s="33" t="s">
        <v>664</v>
      </c>
      <c r="D1548" s="33" t="s">
        <v>38</v>
      </c>
      <c r="E1548" s="34">
        <v>234.27</v>
      </c>
      <c r="F1548" s="33" t="s">
        <v>1404</v>
      </c>
    </row>
    <row r="1549" ht="15.75" customHeight="1">
      <c r="A1549" s="33" t="s">
        <v>81</v>
      </c>
      <c r="B1549" s="33" t="s">
        <v>220</v>
      </c>
      <c r="C1549" s="33" t="s">
        <v>220</v>
      </c>
      <c r="D1549" s="33" t="s">
        <v>18</v>
      </c>
      <c r="E1549" s="34">
        <v>1339.55</v>
      </c>
      <c r="F1549" s="33" t="s">
        <v>1945</v>
      </c>
    </row>
    <row r="1550" ht="15.75" customHeight="1">
      <c r="A1550" s="33" t="s">
        <v>81</v>
      </c>
      <c r="B1550" s="33" t="s">
        <v>210</v>
      </c>
      <c r="C1550" s="33" t="s">
        <v>531</v>
      </c>
      <c r="D1550" s="33" t="s">
        <v>22</v>
      </c>
      <c r="E1550" s="34">
        <v>292.5</v>
      </c>
      <c r="F1550" s="33" t="s">
        <v>1946</v>
      </c>
    </row>
    <row r="1551" ht="15.75" customHeight="1">
      <c r="A1551" s="33" t="s">
        <v>81</v>
      </c>
      <c r="B1551" s="33" t="s">
        <v>361</v>
      </c>
      <c r="C1551" s="33" t="s">
        <v>361</v>
      </c>
      <c r="D1551" s="33" t="s">
        <v>14</v>
      </c>
      <c r="E1551" s="34">
        <v>400.0</v>
      </c>
      <c r="F1551" s="33" t="s">
        <v>1947</v>
      </c>
    </row>
    <row r="1552" ht="15.75" customHeight="1">
      <c r="A1552" s="33" t="s">
        <v>81</v>
      </c>
      <c r="B1552" s="33" t="s">
        <v>236</v>
      </c>
      <c r="C1552" s="33" t="s">
        <v>236</v>
      </c>
      <c r="D1552" s="33" t="s">
        <v>14</v>
      </c>
      <c r="E1552" s="34">
        <v>61.98</v>
      </c>
      <c r="F1552" s="33" t="s">
        <v>1948</v>
      </c>
    </row>
    <row r="1553" ht="15.75" customHeight="1">
      <c r="A1553" s="33" t="s">
        <v>81</v>
      </c>
      <c r="B1553" s="33" t="s">
        <v>90</v>
      </c>
      <c r="C1553" s="33" t="s">
        <v>536</v>
      </c>
      <c r="D1553" s="33" t="s">
        <v>18</v>
      </c>
      <c r="E1553" s="34">
        <v>99.7</v>
      </c>
      <c r="F1553" s="33" t="s">
        <v>1949</v>
      </c>
    </row>
    <row r="1554" ht="15.75" customHeight="1">
      <c r="A1554" s="33" t="s">
        <v>81</v>
      </c>
      <c r="B1554" s="33" t="s">
        <v>291</v>
      </c>
      <c r="C1554" s="33" t="s">
        <v>291</v>
      </c>
      <c r="D1554" s="33" t="s">
        <v>38</v>
      </c>
      <c r="E1554" s="34">
        <v>140.73</v>
      </c>
      <c r="F1554" s="33" t="s">
        <v>1308</v>
      </c>
    </row>
    <row r="1555" ht="15.75" customHeight="1">
      <c r="A1555" s="33" t="s">
        <v>81</v>
      </c>
      <c r="B1555" s="33" t="s">
        <v>127</v>
      </c>
      <c r="C1555" s="33" t="s">
        <v>127</v>
      </c>
      <c r="D1555" s="33" t="s">
        <v>36</v>
      </c>
      <c r="E1555" s="34">
        <v>1689.13</v>
      </c>
      <c r="F1555" s="33" t="s">
        <v>1950</v>
      </c>
    </row>
    <row r="1556" ht="15.75" customHeight="1">
      <c r="A1556" s="33" t="s">
        <v>81</v>
      </c>
      <c r="B1556" s="33" t="s">
        <v>142</v>
      </c>
      <c r="C1556" s="33" t="s">
        <v>142</v>
      </c>
      <c r="D1556" s="33" t="s">
        <v>36</v>
      </c>
      <c r="E1556" s="34">
        <v>2042.89</v>
      </c>
      <c r="F1556" s="33" t="s">
        <v>543</v>
      </c>
    </row>
    <row r="1557" ht="15.75" customHeight="1">
      <c r="A1557" s="33" t="s">
        <v>81</v>
      </c>
      <c r="B1557" s="33" t="s">
        <v>429</v>
      </c>
      <c r="C1557" s="33" t="s">
        <v>429</v>
      </c>
      <c r="D1557" s="33" t="s">
        <v>14</v>
      </c>
      <c r="E1557" s="34">
        <v>315.0</v>
      </c>
      <c r="F1557" s="33" t="s">
        <v>1951</v>
      </c>
    </row>
    <row r="1558" ht="15.75" customHeight="1">
      <c r="A1558" s="33" t="s">
        <v>81</v>
      </c>
      <c r="B1558" s="33" t="s">
        <v>351</v>
      </c>
      <c r="C1558" s="33" t="s">
        <v>351</v>
      </c>
      <c r="D1558" s="33" t="s">
        <v>38</v>
      </c>
      <c r="E1558" s="34">
        <v>61.02</v>
      </c>
      <c r="F1558" s="33" t="s">
        <v>1952</v>
      </c>
    </row>
    <row r="1559" ht="15.75" customHeight="1">
      <c r="A1559" s="33" t="s">
        <v>81</v>
      </c>
      <c r="B1559" s="33" t="s">
        <v>1053</v>
      </c>
      <c r="C1559" s="33" t="s">
        <v>117</v>
      </c>
      <c r="D1559" s="33" t="s">
        <v>14</v>
      </c>
      <c r="E1559" s="34">
        <v>260.0</v>
      </c>
      <c r="F1559" s="33" t="s">
        <v>1953</v>
      </c>
    </row>
    <row r="1560" ht="15.75" customHeight="1">
      <c r="A1560" s="33" t="s">
        <v>81</v>
      </c>
      <c r="B1560" s="33" t="s">
        <v>218</v>
      </c>
      <c r="C1560" s="33" t="s">
        <v>553</v>
      </c>
      <c r="D1560" s="33" t="s">
        <v>40</v>
      </c>
      <c r="E1560" s="34">
        <v>205.5</v>
      </c>
      <c r="F1560" s="33" t="s">
        <v>1766</v>
      </c>
    </row>
    <row r="1561" ht="15.75" customHeight="1">
      <c r="A1561" s="33" t="s">
        <v>81</v>
      </c>
      <c r="B1561" s="33" t="s">
        <v>146</v>
      </c>
      <c r="C1561" s="33" t="s">
        <v>1056</v>
      </c>
      <c r="D1561" s="33" t="s">
        <v>18</v>
      </c>
      <c r="E1561" s="34">
        <v>152.76</v>
      </c>
      <c r="F1561" s="33" t="s">
        <v>1954</v>
      </c>
    </row>
    <row r="1562" ht="15.75" customHeight="1">
      <c r="A1562" s="33" t="s">
        <v>81</v>
      </c>
      <c r="B1562" s="33" t="s">
        <v>282</v>
      </c>
      <c r="C1562" s="33" t="s">
        <v>1955</v>
      </c>
      <c r="D1562" s="33" t="s">
        <v>18</v>
      </c>
      <c r="E1562" s="34">
        <v>2800.0</v>
      </c>
      <c r="F1562" s="33" t="s">
        <v>1956</v>
      </c>
    </row>
    <row r="1563" ht="15.75" customHeight="1">
      <c r="A1563" s="33" t="s">
        <v>81</v>
      </c>
      <c r="B1563" s="33" t="s">
        <v>141</v>
      </c>
      <c r="C1563" s="33" t="s">
        <v>141</v>
      </c>
      <c r="D1563" s="33" t="s">
        <v>14</v>
      </c>
      <c r="E1563" s="34">
        <v>19577.28</v>
      </c>
      <c r="F1563" s="33" t="s">
        <v>1957</v>
      </c>
    </row>
    <row r="1564" ht="15.75" customHeight="1">
      <c r="A1564" s="33" t="s">
        <v>81</v>
      </c>
      <c r="B1564" s="33" t="s">
        <v>109</v>
      </c>
      <c r="C1564" s="33" t="s">
        <v>109</v>
      </c>
      <c r="D1564" s="33" t="s">
        <v>22</v>
      </c>
      <c r="E1564" s="34">
        <v>483.0</v>
      </c>
      <c r="F1564" s="33" t="s">
        <v>1427</v>
      </c>
    </row>
    <row r="1565" ht="15.75" customHeight="1">
      <c r="A1565" s="33" t="s">
        <v>81</v>
      </c>
      <c r="B1565" s="33" t="s">
        <v>238</v>
      </c>
      <c r="C1565" s="33" t="s">
        <v>1958</v>
      </c>
      <c r="D1565" s="33" t="s">
        <v>14</v>
      </c>
      <c r="E1565" s="34">
        <v>5311.7</v>
      </c>
      <c r="F1565" s="33" t="s">
        <v>1959</v>
      </c>
    </row>
    <row r="1566" ht="15.75" customHeight="1">
      <c r="A1566" s="33" t="s">
        <v>81</v>
      </c>
      <c r="B1566" s="33" t="s">
        <v>175</v>
      </c>
      <c r="C1566" s="33" t="s">
        <v>175</v>
      </c>
      <c r="D1566" s="33" t="s">
        <v>14</v>
      </c>
      <c r="E1566" s="34">
        <v>3200.0</v>
      </c>
      <c r="F1566" s="33" t="s">
        <v>1960</v>
      </c>
    </row>
    <row r="1567" ht="15.75" customHeight="1">
      <c r="A1567" s="33" t="s">
        <v>81</v>
      </c>
      <c r="B1567" s="33" t="s">
        <v>371</v>
      </c>
      <c r="C1567" s="33" t="s">
        <v>371</v>
      </c>
      <c r="D1567" s="33" t="s">
        <v>14</v>
      </c>
      <c r="E1567" s="34">
        <v>803.99</v>
      </c>
      <c r="F1567" s="33" t="s">
        <v>1961</v>
      </c>
    </row>
    <row r="1568" ht="15.75" customHeight="1">
      <c r="A1568" s="33" t="s">
        <v>81</v>
      </c>
      <c r="B1568" s="33" t="s">
        <v>196</v>
      </c>
      <c r="C1568" s="33" t="s">
        <v>196</v>
      </c>
      <c r="D1568" s="33" t="s">
        <v>30</v>
      </c>
      <c r="E1568" s="34">
        <v>674.76</v>
      </c>
      <c r="F1568" s="33" t="s">
        <v>1962</v>
      </c>
    </row>
    <row r="1569" ht="15.75" customHeight="1">
      <c r="A1569" s="33" t="s">
        <v>81</v>
      </c>
      <c r="B1569" s="33" t="s">
        <v>98</v>
      </c>
      <c r="C1569" s="33" t="s">
        <v>1483</v>
      </c>
      <c r="D1569" s="33" t="s">
        <v>26</v>
      </c>
      <c r="E1569" s="34">
        <v>30574.26</v>
      </c>
      <c r="F1569" s="33" t="s">
        <v>1963</v>
      </c>
    </row>
    <row r="1570" ht="15.75" customHeight="1">
      <c r="A1570" s="33" t="s">
        <v>81</v>
      </c>
      <c r="B1570" s="33" t="s">
        <v>96</v>
      </c>
      <c r="C1570" s="33" t="s">
        <v>925</v>
      </c>
      <c r="D1570" s="33" t="s">
        <v>20</v>
      </c>
      <c r="E1570" s="34">
        <v>2829.75</v>
      </c>
      <c r="F1570" s="33" t="s">
        <v>1825</v>
      </c>
    </row>
    <row r="1571" ht="15.75" customHeight="1">
      <c r="A1571" s="33" t="s">
        <v>81</v>
      </c>
      <c r="B1571" s="33" t="s">
        <v>136</v>
      </c>
      <c r="C1571" s="33" t="s">
        <v>136</v>
      </c>
      <c r="D1571" s="33" t="s">
        <v>14</v>
      </c>
      <c r="E1571" s="34">
        <v>1550.69</v>
      </c>
      <c r="F1571" s="33" t="s">
        <v>1964</v>
      </c>
    </row>
    <row r="1572" ht="15.75" customHeight="1">
      <c r="A1572" s="33" t="s">
        <v>81</v>
      </c>
      <c r="B1572" s="33" t="s">
        <v>279</v>
      </c>
      <c r="C1572" s="33" t="s">
        <v>279</v>
      </c>
      <c r="D1572" s="33" t="s">
        <v>18</v>
      </c>
      <c r="E1572" s="34">
        <v>996.18</v>
      </c>
      <c r="F1572" s="33" t="s">
        <v>1965</v>
      </c>
    </row>
    <row r="1573" ht="15.75" customHeight="1">
      <c r="A1573" s="33" t="s">
        <v>81</v>
      </c>
      <c r="B1573" s="33" t="s">
        <v>152</v>
      </c>
      <c r="C1573" s="33" t="s">
        <v>152</v>
      </c>
      <c r="D1573" s="33" t="s">
        <v>18</v>
      </c>
      <c r="E1573" s="34">
        <v>2022.5</v>
      </c>
      <c r="F1573" s="33" t="s">
        <v>1966</v>
      </c>
    </row>
    <row r="1574" ht="15.75" customHeight="1">
      <c r="A1574" s="33" t="s">
        <v>81</v>
      </c>
      <c r="B1574" s="33" t="s">
        <v>153</v>
      </c>
      <c r="C1574" s="33" t="s">
        <v>153</v>
      </c>
      <c r="D1574" s="33" t="s">
        <v>14</v>
      </c>
      <c r="E1574" s="34">
        <v>2022.5</v>
      </c>
      <c r="F1574" s="33" t="s">
        <v>1966</v>
      </c>
    </row>
    <row r="1575" ht="15.75" customHeight="1">
      <c r="A1575" s="33" t="s">
        <v>81</v>
      </c>
      <c r="B1575" s="33" t="s">
        <v>224</v>
      </c>
      <c r="C1575" s="33" t="s">
        <v>224</v>
      </c>
      <c r="D1575" s="33" t="s">
        <v>38</v>
      </c>
      <c r="E1575" s="34">
        <v>1465.06</v>
      </c>
      <c r="F1575" s="33" t="s">
        <v>1895</v>
      </c>
    </row>
    <row r="1576" ht="15.75" customHeight="1">
      <c r="A1576" s="33" t="s">
        <v>81</v>
      </c>
      <c r="B1576" s="33" t="s">
        <v>326</v>
      </c>
      <c r="C1576" s="33" t="s">
        <v>1967</v>
      </c>
      <c r="D1576" s="33" t="s">
        <v>14</v>
      </c>
      <c r="E1576" s="34">
        <v>1431.48</v>
      </c>
      <c r="F1576" s="33" t="s">
        <v>1968</v>
      </c>
    </row>
    <row r="1577" ht="15.75" customHeight="1">
      <c r="A1577" s="33" t="s">
        <v>81</v>
      </c>
      <c r="B1577" s="33" t="s">
        <v>149</v>
      </c>
      <c r="C1577" s="33" t="s">
        <v>1969</v>
      </c>
      <c r="D1577" s="33" t="s">
        <v>22</v>
      </c>
      <c r="E1577" s="34">
        <v>16760.0</v>
      </c>
      <c r="F1577" s="33" t="s">
        <v>1970</v>
      </c>
    </row>
    <row r="1578" ht="15.75" customHeight="1">
      <c r="A1578" s="33" t="s">
        <v>81</v>
      </c>
      <c r="B1578" s="33" t="s">
        <v>262</v>
      </c>
      <c r="C1578" s="33" t="s">
        <v>262</v>
      </c>
      <c r="D1578" s="33" t="s">
        <v>32</v>
      </c>
      <c r="E1578" s="34">
        <v>87.5</v>
      </c>
      <c r="F1578" s="33" t="s">
        <v>1971</v>
      </c>
    </row>
    <row r="1579" ht="15.75" customHeight="1">
      <c r="A1579" s="33" t="s">
        <v>81</v>
      </c>
      <c r="B1579" s="33" t="s">
        <v>191</v>
      </c>
      <c r="C1579" s="33" t="s">
        <v>191</v>
      </c>
      <c r="D1579" s="33" t="s">
        <v>14</v>
      </c>
      <c r="E1579" s="34">
        <v>175.0</v>
      </c>
      <c r="F1579" s="33" t="s">
        <v>933</v>
      </c>
    </row>
    <row r="1580" ht="15.75" customHeight="1">
      <c r="A1580" s="33" t="s">
        <v>81</v>
      </c>
      <c r="B1580" s="33" t="s">
        <v>186</v>
      </c>
      <c r="C1580" s="33" t="s">
        <v>186</v>
      </c>
      <c r="D1580" s="33" t="s">
        <v>18</v>
      </c>
      <c r="E1580" s="34">
        <v>530.61</v>
      </c>
      <c r="F1580" s="33" t="s">
        <v>1972</v>
      </c>
    </row>
    <row r="1581" ht="15.75" customHeight="1">
      <c r="A1581" s="33" t="s">
        <v>81</v>
      </c>
      <c r="B1581" s="33" t="s">
        <v>15</v>
      </c>
      <c r="C1581" s="33" t="s">
        <v>15</v>
      </c>
      <c r="D1581" s="33" t="s">
        <v>20</v>
      </c>
      <c r="E1581" s="34">
        <v>49140.18</v>
      </c>
      <c r="F1581" s="33" t="s">
        <v>749</v>
      </c>
    </row>
    <row r="1582" ht="15.75" customHeight="1">
      <c r="A1582" s="33" t="s">
        <v>81</v>
      </c>
      <c r="B1582" s="33" t="s">
        <v>105</v>
      </c>
      <c r="C1582" s="33" t="s">
        <v>893</v>
      </c>
      <c r="D1582" s="33" t="s">
        <v>22</v>
      </c>
      <c r="E1582" s="34">
        <v>34800.0</v>
      </c>
      <c r="F1582" s="33" t="s">
        <v>1973</v>
      </c>
    </row>
    <row r="1583" ht="15.75" customHeight="1">
      <c r="A1583" s="33" t="s">
        <v>81</v>
      </c>
      <c r="B1583" s="33" t="s">
        <v>254</v>
      </c>
      <c r="C1583" s="33" t="s">
        <v>254</v>
      </c>
      <c r="D1583" s="33" t="s">
        <v>14</v>
      </c>
      <c r="E1583" s="34">
        <v>1378.41</v>
      </c>
      <c r="F1583" s="33" t="s">
        <v>1974</v>
      </c>
    </row>
    <row r="1584" ht="15.75" customHeight="1">
      <c r="A1584" s="33" t="s">
        <v>81</v>
      </c>
      <c r="B1584" s="33" t="s">
        <v>184</v>
      </c>
      <c r="C1584" s="33" t="s">
        <v>581</v>
      </c>
      <c r="D1584" s="33" t="s">
        <v>30</v>
      </c>
      <c r="E1584" s="34">
        <v>2633.57</v>
      </c>
      <c r="F1584" s="33" t="s">
        <v>1330</v>
      </c>
    </row>
    <row r="1585" ht="15.75" customHeight="1">
      <c r="A1585" s="33" t="s">
        <v>81</v>
      </c>
      <c r="B1585" s="33" t="s">
        <v>144</v>
      </c>
      <c r="C1585" s="33" t="s">
        <v>144</v>
      </c>
      <c r="D1585" s="33" t="s">
        <v>18</v>
      </c>
      <c r="E1585" s="34">
        <v>622.17</v>
      </c>
      <c r="F1585" s="33" t="s">
        <v>1975</v>
      </c>
    </row>
    <row r="1586" ht="15.75" customHeight="1">
      <c r="A1586" s="33" t="s">
        <v>81</v>
      </c>
      <c r="B1586" s="33" t="s">
        <v>200</v>
      </c>
      <c r="C1586" s="33" t="s">
        <v>1141</v>
      </c>
      <c r="D1586" s="33" t="s">
        <v>14</v>
      </c>
      <c r="E1586" s="34">
        <v>1902.29</v>
      </c>
      <c r="F1586" s="33" t="s">
        <v>1976</v>
      </c>
    </row>
    <row r="1587" ht="15.75" customHeight="1">
      <c r="A1587" s="33" t="s">
        <v>81</v>
      </c>
      <c r="B1587" s="33" t="s">
        <v>190</v>
      </c>
      <c r="C1587" s="33" t="s">
        <v>190</v>
      </c>
      <c r="D1587" s="33" t="s">
        <v>40</v>
      </c>
      <c r="E1587" s="34">
        <v>624.06</v>
      </c>
      <c r="F1587" s="33" t="s">
        <v>1977</v>
      </c>
    </row>
    <row r="1588" ht="15.75" customHeight="1">
      <c r="A1588" s="33" t="s">
        <v>81</v>
      </c>
      <c r="B1588" s="33" t="s">
        <v>43</v>
      </c>
      <c r="C1588" s="33" t="s">
        <v>43</v>
      </c>
      <c r="D1588" s="33" t="s">
        <v>18</v>
      </c>
      <c r="E1588" s="34">
        <v>6701.66</v>
      </c>
      <c r="F1588" s="33" t="s">
        <v>1978</v>
      </c>
    </row>
    <row r="1589" ht="15.75" customHeight="1">
      <c r="A1589" s="33" t="s">
        <v>81</v>
      </c>
      <c r="B1589" s="33" t="s">
        <v>298</v>
      </c>
      <c r="C1589" s="33" t="s">
        <v>594</v>
      </c>
      <c r="D1589" s="33" t="s">
        <v>14</v>
      </c>
      <c r="E1589" s="34">
        <v>205.56</v>
      </c>
      <c r="F1589" s="33" t="s">
        <v>595</v>
      </c>
    </row>
    <row r="1590" ht="15.75" customHeight="1">
      <c r="A1590" s="33" t="s">
        <v>81</v>
      </c>
      <c r="B1590" s="33" t="s">
        <v>120</v>
      </c>
      <c r="C1590" s="33" t="s">
        <v>819</v>
      </c>
      <c r="D1590" s="33" t="s">
        <v>14</v>
      </c>
      <c r="E1590" s="34">
        <v>2994.03</v>
      </c>
      <c r="F1590" s="33" t="s">
        <v>1979</v>
      </c>
    </row>
    <row r="1591" ht="15.75" customHeight="1">
      <c r="A1591" s="33" t="s">
        <v>81</v>
      </c>
      <c r="B1591" s="33" t="s">
        <v>97</v>
      </c>
      <c r="C1591" s="33" t="s">
        <v>650</v>
      </c>
      <c r="D1591" s="33" t="s">
        <v>30</v>
      </c>
      <c r="E1591" s="34">
        <v>34507.89</v>
      </c>
      <c r="F1591" s="33" t="s">
        <v>1980</v>
      </c>
    </row>
    <row r="1592" ht="15.75" customHeight="1">
      <c r="A1592" s="33" t="s">
        <v>81</v>
      </c>
      <c r="B1592" s="33" t="s">
        <v>161</v>
      </c>
      <c r="C1592" s="33" t="s">
        <v>596</v>
      </c>
      <c r="D1592" s="33" t="s">
        <v>38</v>
      </c>
      <c r="E1592" s="34">
        <v>1483.37</v>
      </c>
      <c r="F1592" s="33" t="s">
        <v>1981</v>
      </c>
    </row>
    <row r="1593" ht="15.75" customHeight="1">
      <c r="A1593" s="33" t="s">
        <v>81</v>
      </c>
      <c r="B1593" s="33" t="s">
        <v>292</v>
      </c>
      <c r="C1593" s="33" t="s">
        <v>292</v>
      </c>
      <c r="D1593" s="33" t="s">
        <v>18</v>
      </c>
      <c r="E1593" s="34">
        <v>231.05</v>
      </c>
      <c r="F1593" s="33" t="s">
        <v>599</v>
      </c>
    </row>
    <row r="1594" ht="15.75" customHeight="1">
      <c r="A1594" s="33" t="s">
        <v>81</v>
      </c>
      <c r="B1594" s="33" t="s">
        <v>328</v>
      </c>
      <c r="C1594" s="33" t="s">
        <v>328</v>
      </c>
      <c r="D1594" s="33" t="s">
        <v>36</v>
      </c>
      <c r="E1594" s="34">
        <v>108.71</v>
      </c>
      <c r="F1594" s="33" t="s">
        <v>600</v>
      </c>
    </row>
    <row r="1595" ht="15.75" customHeight="1">
      <c r="A1595" s="33" t="s">
        <v>81</v>
      </c>
      <c r="B1595" s="33" t="s">
        <v>246</v>
      </c>
      <c r="C1595" s="33" t="s">
        <v>246</v>
      </c>
      <c r="D1595" s="33" t="s">
        <v>42</v>
      </c>
      <c r="E1595" s="34">
        <v>370.0</v>
      </c>
      <c r="F1595" s="33" t="s">
        <v>1982</v>
      </c>
    </row>
    <row r="1596" ht="15.75" customHeight="1">
      <c r="A1596" s="33" t="s">
        <v>81</v>
      </c>
      <c r="B1596" s="33" t="s">
        <v>273</v>
      </c>
      <c r="C1596" s="33" t="s">
        <v>273</v>
      </c>
      <c r="D1596" s="33" t="s">
        <v>14</v>
      </c>
      <c r="E1596" s="34">
        <v>17.0</v>
      </c>
      <c r="F1596" s="33" t="s">
        <v>1938</v>
      </c>
    </row>
    <row r="1597" ht="15.75" customHeight="1">
      <c r="A1597" s="33" t="s">
        <v>81</v>
      </c>
      <c r="B1597" s="33" t="s">
        <v>95</v>
      </c>
      <c r="C1597" s="33" t="s">
        <v>538</v>
      </c>
      <c r="D1597" s="33" t="s">
        <v>14</v>
      </c>
      <c r="E1597" s="34">
        <v>10620.03</v>
      </c>
      <c r="F1597" s="33" t="s">
        <v>539</v>
      </c>
    </row>
    <row r="1598" ht="15.75" customHeight="1">
      <c r="A1598" s="33" t="s">
        <v>81</v>
      </c>
      <c r="B1598" s="33" t="s">
        <v>33</v>
      </c>
      <c r="C1598" s="33" t="s">
        <v>785</v>
      </c>
      <c r="D1598" s="33" t="s">
        <v>22</v>
      </c>
      <c r="E1598" s="34">
        <v>34453.31</v>
      </c>
      <c r="F1598" s="33" t="s">
        <v>1983</v>
      </c>
    </row>
    <row r="1599" ht="15.75" customHeight="1">
      <c r="A1599" s="33" t="s">
        <v>81</v>
      </c>
      <c r="B1599" s="33" t="s">
        <v>100</v>
      </c>
      <c r="C1599" s="33" t="s">
        <v>626</v>
      </c>
      <c r="D1599" s="33" t="s">
        <v>22</v>
      </c>
      <c r="E1599" s="34">
        <v>15010.0</v>
      </c>
      <c r="F1599" s="33" t="s">
        <v>1984</v>
      </c>
    </row>
    <row r="1600" ht="15.75" customHeight="1">
      <c r="A1600" s="33" t="s">
        <v>81</v>
      </c>
      <c r="B1600" s="33" t="s">
        <v>451</v>
      </c>
      <c r="C1600" s="33" t="s">
        <v>451</v>
      </c>
      <c r="D1600" s="33" t="s">
        <v>14</v>
      </c>
      <c r="E1600" s="34">
        <v>200.0</v>
      </c>
      <c r="F1600" s="33" t="s">
        <v>1985</v>
      </c>
    </row>
    <row r="1601" ht="15.75" customHeight="1">
      <c r="A1601" s="33" t="s">
        <v>81</v>
      </c>
      <c r="B1601" s="33" t="s">
        <v>410</v>
      </c>
      <c r="C1601" s="33" t="s">
        <v>577</v>
      </c>
      <c r="D1601" s="33" t="s">
        <v>14</v>
      </c>
      <c r="E1601" s="34">
        <v>38.65</v>
      </c>
      <c r="F1601" s="33" t="s">
        <v>578</v>
      </c>
    </row>
    <row r="1602" ht="15.75" customHeight="1">
      <c r="A1602" s="33" t="s">
        <v>81</v>
      </c>
      <c r="B1602" s="33" t="s">
        <v>250</v>
      </c>
      <c r="C1602" s="33" t="s">
        <v>250</v>
      </c>
      <c r="D1602" s="33" t="s">
        <v>14</v>
      </c>
      <c r="E1602" s="34">
        <v>150.0</v>
      </c>
      <c r="F1602" s="33" t="s">
        <v>1986</v>
      </c>
    </row>
    <row r="1603" ht="15.75" customHeight="1">
      <c r="A1603" s="33" t="s">
        <v>81</v>
      </c>
      <c r="B1603" s="33" t="s">
        <v>368</v>
      </c>
      <c r="C1603" s="33" t="s">
        <v>368</v>
      </c>
      <c r="D1603" s="33" t="s">
        <v>14</v>
      </c>
      <c r="E1603" s="34">
        <v>75.0</v>
      </c>
      <c r="F1603" s="33" t="s">
        <v>1986</v>
      </c>
    </row>
    <row r="1604" ht="15.75" customHeight="1">
      <c r="A1604" s="33" t="s">
        <v>81</v>
      </c>
      <c r="B1604" s="33" t="s">
        <v>397</v>
      </c>
      <c r="C1604" s="33" t="s">
        <v>397</v>
      </c>
      <c r="D1604" s="33" t="s">
        <v>14</v>
      </c>
      <c r="E1604" s="34">
        <v>150.0</v>
      </c>
      <c r="F1604" s="33" t="s">
        <v>1986</v>
      </c>
    </row>
    <row r="1605" ht="15.75" customHeight="1">
      <c r="A1605" s="33" t="s">
        <v>81</v>
      </c>
      <c r="B1605" s="33" t="s">
        <v>399</v>
      </c>
      <c r="C1605" s="33" t="s">
        <v>399</v>
      </c>
      <c r="D1605" s="33" t="s">
        <v>14</v>
      </c>
      <c r="E1605" s="34">
        <v>59.94</v>
      </c>
      <c r="F1605" s="33" t="s">
        <v>1986</v>
      </c>
    </row>
    <row r="1606" ht="15.75" customHeight="1">
      <c r="A1606" s="33" t="s">
        <v>81</v>
      </c>
      <c r="B1606" s="33" t="s">
        <v>219</v>
      </c>
      <c r="C1606" s="33" t="s">
        <v>219</v>
      </c>
      <c r="D1606" s="33" t="s">
        <v>14</v>
      </c>
      <c r="E1606" s="34">
        <v>150.0</v>
      </c>
      <c r="F1606" s="33" t="s">
        <v>1986</v>
      </c>
    </row>
    <row r="1607" ht="15.75" customHeight="1">
      <c r="A1607" s="33" t="s">
        <v>81</v>
      </c>
      <c r="B1607" s="33" t="s">
        <v>132</v>
      </c>
      <c r="C1607" s="33" t="s">
        <v>132</v>
      </c>
      <c r="D1607" s="33" t="s">
        <v>30</v>
      </c>
      <c r="E1607" s="34">
        <v>3200.0</v>
      </c>
      <c r="F1607" s="33" t="s">
        <v>1357</v>
      </c>
    </row>
    <row r="1608" ht="15.75" customHeight="1">
      <c r="A1608" s="33" t="s">
        <v>81</v>
      </c>
      <c r="B1608" s="33" t="s">
        <v>222</v>
      </c>
      <c r="C1608" s="33" t="s">
        <v>664</v>
      </c>
      <c r="D1608" s="33" t="s">
        <v>38</v>
      </c>
      <c r="E1608" s="34">
        <v>546.42</v>
      </c>
      <c r="F1608" s="33" t="s">
        <v>1987</v>
      </c>
    </row>
    <row r="1609" ht="15.75" customHeight="1">
      <c r="A1609" s="33" t="s">
        <v>81</v>
      </c>
      <c r="B1609" s="33" t="s">
        <v>182</v>
      </c>
      <c r="C1609" s="33" t="s">
        <v>760</v>
      </c>
      <c r="D1609" s="33" t="s">
        <v>14</v>
      </c>
      <c r="E1609" s="34">
        <v>848.0</v>
      </c>
      <c r="F1609" s="33" t="s">
        <v>1988</v>
      </c>
    </row>
    <row r="1610" ht="15.75" customHeight="1">
      <c r="A1610" s="33" t="s">
        <v>81</v>
      </c>
      <c r="B1610" s="33" t="s">
        <v>183</v>
      </c>
      <c r="C1610" s="33" t="s">
        <v>183</v>
      </c>
      <c r="D1610" s="33" t="s">
        <v>16</v>
      </c>
      <c r="E1610" s="34">
        <v>1252.82</v>
      </c>
      <c r="F1610" s="33" t="s">
        <v>610</v>
      </c>
    </row>
    <row r="1611" ht="15.75" customHeight="1">
      <c r="A1611" s="33" t="s">
        <v>81</v>
      </c>
      <c r="B1611" s="33" t="s">
        <v>122</v>
      </c>
      <c r="C1611" s="33" t="s">
        <v>529</v>
      </c>
      <c r="D1611" s="33" t="s">
        <v>20</v>
      </c>
      <c r="E1611" s="34">
        <v>136.25</v>
      </c>
      <c r="F1611" s="33" t="s">
        <v>1989</v>
      </c>
    </row>
    <row r="1612" ht="15.75" customHeight="1">
      <c r="A1612" s="33" t="s">
        <v>81</v>
      </c>
      <c r="B1612" s="33" t="s">
        <v>110</v>
      </c>
      <c r="C1612" s="33" t="s">
        <v>110</v>
      </c>
      <c r="D1612" s="33" t="s">
        <v>36</v>
      </c>
      <c r="E1612" s="34">
        <v>5272.51</v>
      </c>
      <c r="F1612" s="33" t="s">
        <v>1990</v>
      </c>
    </row>
    <row r="1613" ht="15.75" customHeight="1">
      <c r="A1613" s="33" t="s">
        <v>81</v>
      </c>
      <c r="B1613" s="33" t="s">
        <v>17</v>
      </c>
      <c r="C1613" s="33" t="s">
        <v>534</v>
      </c>
      <c r="D1613" s="33" t="s">
        <v>18</v>
      </c>
      <c r="E1613" s="34">
        <v>1617.06</v>
      </c>
      <c r="F1613" s="33" t="s">
        <v>1991</v>
      </c>
    </row>
    <row r="1614" ht="15.75" customHeight="1">
      <c r="A1614" s="33" t="s">
        <v>81</v>
      </c>
      <c r="B1614" s="33" t="s">
        <v>102</v>
      </c>
      <c r="C1614" s="33" t="s">
        <v>615</v>
      </c>
      <c r="D1614" s="33" t="s">
        <v>14</v>
      </c>
      <c r="E1614" s="34">
        <v>11078.16</v>
      </c>
      <c r="F1614" s="33" t="s">
        <v>1465</v>
      </c>
    </row>
    <row r="1615" ht="15.75" customHeight="1">
      <c r="A1615" s="33" t="s">
        <v>81</v>
      </c>
      <c r="B1615" s="33" t="s">
        <v>126</v>
      </c>
      <c r="C1615" s="33" t="s">
        <v>1992</v>
      </c>
      <c r="D1615" s="33" t="s">
        <v>14</v>
      </c>
      <c r="E1615" s="34">
        <v>35000.0</v>
      </c>
      <c r="F1615" s="33" t="s">
        <v>1993</v>
      </c>
    </row>
    <row r="1616" ht="15.75" customHeight="1">
      <c r="A1616" s="33" t="s">
        <v>81</v>
      </c>
      <c r="B1616" s="33" t="s">
        <v>94</v>
      </c>
      <c r="C1616" s="33" t="s">
        <v>619</v>
      </c>
      <c r="D1616" s="33" t="s">
        <v>22</v>
      </c>
      <c r="E1616" s="34">
        <v>11971.92</v>
      </c>
      <c r="F1616" s="33" t="s">
        <v>1994</v>
      </c>
    </row>
    <row r="1617" ht="15.75" customHeight="1">
      <c r="A1617" s="33" t="s">
        <v>81</v>
      </c>
      <c r="B1617" s="33" t="s">
        <v>137</v>
      </c>
      <c r="C1617" s="33" t="s">
        <v>137</v>
      </c>
      <c r="D1617" s="33" t="s">
        <v>18</v>
      </c>
      <c r="E1617" s="34">
        <v>67.38</v>
      </c>
      <c r="F1617" s="33" t="s">
        <v>1995</v>
      </c>
    </row>
    <row r="1618" ht="15.75" customHeight="1">
      <c r="A1618" s="33" t="s">
        <v>81</v>
      </c>
      <c r="B1618" s="33" t="s">
        <v>256</v>
      </c>
      <c r="C1618" s="33" t="s">
        <v>792</v>
      </c>
      <c r="D1618" s="33" t="s">
        <v>14</v>
      </c>
      <c r="E1618" s="34">
        <v>1138.5</v>
      </c>
      <c r="F1618" s="33" t="s">
        <v>793</v>
      </c>
    </row>
    <row r="1619" ht="15.75" customHeight="1">
      <c r="A1619" s="33" t="s">
        <v>81</v>
      </c>
      <c r="B1619" s="33" t="s">
        <v>272</v>
      </c>
      <c r="C1619" s="33" t="s">
        <v>272</v>
      </c>
      <c r="D1619" s="33" t="s">
        <v>14</v>
      </c>
      <c r="E1619" s="34">
        <v>2127.8</v>
      </c>
      <c r="F1619" s="33" t="s">
        <v>1996</v>
      </c>
    </row>
    <row r="1620" ht="15.75" customHeight="1">
      <c r="A1620" s="33" t="s">
        <v>81</v>
      </c>
      <c r="B1620" s="33" t="s">
        <v>113</v>
      </c>
      <c r="C1620" s="33" t="s">
        <v>540</v>
      </c>
      <c r="D1620" s="33" t="s">
        <v>14</v>
      </c>
      <c r="E1620" s="34">
        <v>2371.77</v>
      </c>
      <c r="F1620" s="33" t="s">
        <v>1997</v>
      </c>
    </row>
    <row r="1621" ht="15.75" customHeight="1">
      <c r="A1621" s="33" t="s">
        <v>81</v>
      </c>
      <c r="B1621" s="33" t="s">
        <v>291</v>
      </c>
      <c r="C1621" s="33" t="s">
        <v>291</v>
      </c>
      <c r="D1621" s="33" t="s">
        <v>38</v>
      </c>
      <c r="E1621" s="34">
        <v>145.08</v>
      </c>
      <c r="F1621" s="33" t="s">
        <v>1998</v>
      </c>
    </row>
    <row r="1622" ht="15.75" customHeight="1">
      <c r="A1622" s="33" t="s">
        <v>81</v>
      </c>
      <c r="B1622" s="33" t="s">
        <v>214</v>
      </c>
      <c r="C1622" s="33" t="s">
        <v>214</v>
      </c>
      <c r="D1622" s="33" t="s">
        <v>14</v>
      </c>
      <c r="E1622" s="34">
        <v>810.0</v>
      </c>
      <c r="F1622" s="33" t="s">
        <v>624</v>
      </c>
    </row>
    <row r="1623" ht="15.75" customHeight="1">
      <c r="A1623" s="33" t="s">
        <v>81</v>
      </c>
      <c r="B1623" s="33" t="s">
        <v>127</v>
      </c>
      <c r="C1623" s="33" t="s">
        <v>127</v>
      </c>
      <c r="D1623" s="33" t="s">
        <v>36</v>
      </c>
      <c r="E1623" s="34">
        <v>2047.93</v>
      </c>
      <c r="F1623" s="33" t="s">
        <v>1999</v>
      </c>
    </row>
    <row r="1624" ht="15.75" customHeight="1">
      <c r="A1624" s="33" t="s">
        <v>81</v>
      </c>
      <c r="B1624" s="33" t="s">
        <v>39</v>
      </c>
      <c r="C1624" s="33" t="s">
        <v>39</v>
      </c>
      <c r="D1624" s="33" t="s">
        <v>16</v>
      </c>
      <c r="E1624" s="34">
        <v>813.23</v>
      </c>
      <c r="F1624" s="33" t="s">
        <v>2000</v>
      </c>
    </row>
    <row r="1625" ht="15.75" customHeight="1">
      <c r="A1625" s="33" t="s">
        <v>81</v>
      </c>
      <c r="B1625" s="33" t="s">
        <v>39</v>
      </c>
      <c r="C1625" s="33" t="s">
        <v>39</v>
      </c>
      <c r="D1625" s="33" t="s">
        <v>16</v>
      </c>
      <c r="E1625" s="34">
        <v>2415.28</v>
      </c>
      <c r="F1625" s="33" t="s">
        <v>2001</v>
      </c>
    </row>
    <row r="1626" ht="15.75" customHeight="1">
      <c r="A1626" s="33" t="s">
        <v>81</v>
      </c>
      <c r="B1626" s="33" t="s">
        <v>21</v>
      </c>
      <c r="C1626" s="33" t="s">
        <v>21</v>
      </c>
      <c r="D1626" s="33" t="s">
        <v>16</v>
      </c>
      <c r="E1626" s="34">
        <v>91206.49</v>
      </c>
      <c r="F1626" s="33" t="s">
        <v>2002</v>
      </c>
    </row>
    <row r="1627" ht="15.75" customHeight="1">
      <c r="A1627" s="33" t="s">
        <v>81</v>
      </c>
      <c r="B1627" s="33" t="s">
        <v>329</v>
      </c>
      <c r="C1627" s="33" t="s">
        <v>329</v>
      </c>
      <c r="D1627" s="33" t="s">
        <v>14</v>
      </c>
      <c r="E1627" s="34">
        <v>112.0</v>
      </c>
      <c r="F1627" s="33" t="s">
        <v>648</v>
      </c>
    </row>
    <row r="1628" ht="15.75" customHeight="1">
      <c r="A1628" s="33" t="s">
        <v>81</v>
      </c>
      <c r="B1628" s="33" t="s">
        <v>296</v>
      </c>
      <c r="C1628" s="33" t="s">
        <v>2003</v>
      </c>
      <c r="D1628" s="33" t="s">
        <v>14</v>
      </c>
      <c r="E1628" s="34">
        <v>2429.34</v>
      </c>
      <c r="F1628" s="33" t="s">
        <v>2004</v>
      </c>
    </row>
    <row r="1629" ht="15.75" customHeight="1">
      <c r="A1629" s="33" t="s">
        <v>81</v>
      </c>
      <c r="B1629" s="33" t="s">
        <v>351</v>
      </c>
      <c r="C1629" s="33" t="s">
        <v>351</v>
      </c>
      <c r="D1629" s="33" t="s">
        <v>38</v>
      </c>
      <c r="E1629" s="34">
        <v>8.75</v>
      </c>
      <c r="F1629" s="33" t="s">
        <v>1420</v>
      </c>
    </row>
    <row r="1630" ht="15.75" customHeight="1">
      <c r="A1630" s="33" t="s">
        <v>81</v>
      </c>
      <c r="B1630" s="33" t="s">
        <v>150</v>
      </c>
      <c r="C1630" s="33" t="s">
        <v>551</v>
      </c>
      <c r="D1630" s="33" t="s">
        <v>26</v>
      </c>
      <c r="E1630" s="34">
        <v>730.0</v>
      </c>
      <c r="F1630" s="33" t="s">
        <v>2005</v>
      </c>
    </row>
    <row r="1631" ht="15.75" customHeight="1">
      <c r="A1631" s="33" t="s">
        <v>81</v>
      </c>
      <c r="B1631" s="33" t="s">
        <v>218</v>
      </c>
      <c r="C1631" s="33" t="s">
        <v>553</v>
      </c>
      <c r="D1631" s="33" t="s">
        <v>40</v>
      </c>
      <c r="E1631" s="34">
        <v>30.0</v>
      </c>
      <c r="F1631" s="33" t="s">
        <v>2006</v>
      </c>
    </row>
    <row r="1632" ht="15.75" customHeight="1">
      <c r="A1632" s="33" t="s">
        <v>81</v>
      </c>
      <c r="B1632" s="33" t="s">
        <v>109</v>
      </c>
      <c r="C1632" s="33" t="s">
        <v>109</v>
      </c>
      <c r="D1632" s="33" t="s">
        <v>22</v>
      </c>
      <c r="E1632" s="34">
        <v>450.0</v>
      </c>
      <c r="F1632" s="33" t="s">
        <v>2007</v>
      </c>
    </row>
    <row r="1633" ht="15.75" customHeight="1">
      <c r="A1633" s="33" t="s">
        <v>81</v>
      </c>
      <c r="B1633" s="33" t="s">
        <v>289</v>
      </c>
      <c r="C1633" s="33" t="s">
        <v>555</v>
      </c>
      <c r="D1633" s="33" t="s">
        <v>14</v>
      </c>
      <c r="E1633" s="34">
        <v>44.97</v>
      </c>
      <c r="F1633" s="33" t="s">
        <v>2008</v>
      </c>
    </row>
    <row r="1634" ht="15.75" customHeight="1">
      <c r="A1634" s="33" t="s">
        <v>81</v>
      </c>
      <c r="B1634" s="33" t="s">
        <v>388</v>
      </c>
      <c r="C1634" s="33" t="s">
        <v>388</v>
      </c>
      <c r="D1634" s="33" t="s">
        <v>14</v>
      </c>
      <c r="E1634" s="34">
        <v>148.74</v>
      </c>
      <c r="F1634" s="33" t="s">
        <v>2009</v>
      </c>
    </row>
    <row r="1635" ht="15.75" customHeight="1">
      <c r="A1635" s="33" t="s">
        <v>81</v>
      </c>
      <c r="B1635" s="33" t="s">
        <v>196</v>
      </c>
      <c r="C1635" s="33" t="s">
        <v>196</v>
      </c>
      <c r="D1635" s="33" t="s">
        <v>30</v>
      </c>
      <c r="E1635" s="34">
        <v>638.99</v>
      </c>
      <c r="F1635" s="33" t="s">
        <v>2010</v>
      </c>
    </row>
    <row r="1636" ht="15.75" customHeight="1">
      <c r="A1636" s="33" t="s">
        <v>81</v>
      </c>
      <c r="B1636" s="33" t="s">
        <v>96</v>
      </c>
      <c r="C1636" s="33" t="s">
        <v>925</v>
      </c>
      <c r="D1636" s="33" t="s">
        <v>20</v>
      </c>
      <c r="E1636" s="34">
        <v>2926.0</v>
      </c>
      <c r="F1636" s="33" t="s">
        <v>2011</v>
      </c>
    </row>
    <row r="1637" ht="15.75" customHeight="1">
      <c r="A1637" s="33" t="s">
        <v>81</v>
      </c>
      <c r="B1637" s="33" t="s">
        <v>145</v>
      </c>
      <c r="C1637" s="33" t="s">
        <v>564</v>
      </c>
      <c r="D1637" s="33" t="s">
        <v>14</v>
      </c>
      <c r="E1637" s="34">
        <v>2962.36</v>
      </c>
      <c r="F1637" s="33" t="s">
        <v>2012</v>
      </c>
    </row>
    <row r="1638" ht="15.75" customHeight="1">
      <c r="A1638" s="33" t="s">
        <v>81</v>
      </c>
      <c r="B1638" s="33" t="s">
        <v>279</v>
      </c>
      <c r="C1638" s="33" t="s">
        <v>279</v>
      </c>
      <c r="D1638" s="33" t="s">
        <v>18</v>
      </c>
      <c r="E1638" s="34">
        <v>453.57</v>
      </c>
      <c r="F1638" s="33" t="s">
        <v>2013</v>
      </c>
    </row>
    <row r="1639" ht="15.75" customHeight="1">
      <c r="A1639" s="33" t="s">
        <v>81</v>
      </c>
      <c r="B1639" s="33" t="s">
        <v>155</v>
      </c>
      <c r="C1639" s="33" t="s">
        <v>1436</v>
      </c>
      <c r="D1639" s="33" t="s">
        <v>14</v>
      </c>
      <c r="E1639" s="34">
        <v>7950.0</v>
      </c>
      <c r="F1639" s="33" t="s">
        <v>2014</v>
      </c>
    </row>
    <row r="1640" ht="15.75" customHeight="1">
      <c r="A1640" s="33" t="s">
        <v>81</v>
      </c>
      <c r="B1640" s="33" t="s">
        <v>334</v>
      </c>
      <c r="C1640" s="33" t="s">
        <v>334</v>
      </c>
      <c r="D1640" s="33" t="s">
        <v>14</v>
      </c>
      <c r="E1640" s="34">
        <v>417.0</v>
      </c>
      <c r="F1640" s="33" t="s">
        <v>805</v>
      </c>
    </row>
    <row r="1641" ht="15.75" customHeight="1">
      <c r="A1641" s="33" t="s">
        <v>81</v>
      </c>
      <c r="B1641" s="33" t="s">
        <v>446</v>
      </c>
      <c r="C1641" s="33" t="s">
        <v>446</v>
      </c>
      <c r="D1641" s="33" t="s">
        <v>14</v>
      </c>
      <c r="E1641" s="34">
        <v>31.9</v>
      </c>
      <c r="F1641" s="33" t="s">
        <v>2015</v>
      </c>
    </row>
    <row r="1642" ht="15.75" customHeight="1">
      <c r="A1642" s="33" t="s">
        <v>81</v>
      </c>
      <c r="B1642" s="33" t="s">
        <v>224</v>
      </c>
      <c r="C1642" s="33" t="s">
        <v>224</v>
      </c>
      <c r="D1642" s="33" t="s">
        <v>38</v>
      </c>
      <c r="E1642" s="34">
        <v>1462.56</v>
      </c>
      <c r="F1642" s="33" t="s">
        <v>1895</v>
      </c>
    </row>
    <row r="1643" ht="15.75" customHeight="1">
      <c r="A1643" s="33" t="s">
        <v>81</v>
      </c>
      <c r="B1643" s="33" t="s">
        <v>396</v>
      </c>
      <c r="C1643" s="33" t="s">
        <v>396</v>
      </c>
      <c r="D1643" s="33" t="s">
        <v>14</v>
      </c>
      <c r="E1643" s="34">
        <v>27.67</v>
      </c>
      <c r="F1643" s="33" t="s">
        <v>2016</v>
      </c>
    </row>
    <row r="1644" ht="15.75" customHeight="1">
      <c r="A1644" s="33" t="s">
        <v>81</v>
      </c>
      <c r="B1644" s="33" t="s">
        <v>149</v>
      </c>
      <c r="C1644" s="33" t="s">
        <v>1969</v>
      </c>
      <c r="D1644" s="33" t="s">
        <v>22</v>
      </c>
      <c r="E1644" s="34">
        <v>4485.0</v>
      </c>
      <c r="F1644" s="33" t="s">
        <v>1970</v>
      </c>
    </row>
    <row r="1645" ht="15.75" customHeight="1">
      <c r="A1645" s="33" t="s">
        <v>81</v>
      </c>
      <c r="B1645" s="33" t="s">
        <v>186</v>
      </c>
      <c r="C1645" s="33" t="s">
        <v>186</v>
      </c>
      <c r="D1645" s="33" t="s">
        <v>18</v>
      </c>
      <c r="E1645" s="34">
        <v>685.77</v>
      </c>
      <c r="F1645" s="33" t="s">
        <v>2017</v>
      </c>
    </row>
    <row r="1646" ht="15.75" customHeight="1">
      <c r="A1646" s="33" t="s">
        <v>81</v>
      </c>
      <c r="B1646" s="33" t="s">
        <v>99</v>
      </c>
      <c r="C1646" s="33" t="s">
        <v>99</v>
      </c>
      <c r="D1646" s="33" t="s">
        <v>16</v>
      </c>
      <c r="E1646" s="34">
        <v>3640.0</v>
      </c>
      <c r="F1646" s="33" t="s">
        <v>704</v>
      </c>
    </row>
    <row r="1647" ht="15.75" customHeight="1">
      <c r="A1647" s="33" t="s">
        <v>81</v>
      </c>
      <c r="B1647" s="33" t="s">
        <v>168</v>
      </c>
      <c r="C1647" s="33" t="s">
        <v>889</v>
      </c>
      <c r="D1647" s="33" t="s">
        <v>14</v>
      </c>
      <c r="E1647" s="34">
        <v>3180.0</v>
      </c>
      <c r="F1647" s="33" t="s">
        <v>2018</v>
      </c>
    </row>
    <row r="1648" ht="15.75" customHeight="1">
      <c r="A1648" s="33" t="s">
        <v>81</v>
      </c>
      <c r="B1648" s="33" t="s">
        <v>268</v>
      </c>
      <c r="C1648" s="33" t="s">
        <v>268</v>
      </c>
      <c r="D1648" s="33" t="s">
        <v>14</v>
      </c>
      <c r="E1648" s="34">
        <v>2366.45</v>
      </c>
      <c r="F1648" s="33" t="s">
        <v>2019</v>
      </c>
    </row>
    <row r="1649" ht="15.75" customHeight="1">
      <c r="A1649" s="33" t="s">
        <v>81</v>
      </c>
      <c r="B1649" s="33" t="s">
        <v>294</v>
      </c>
      <c r="C1649" s="33" t="s">
        <v>638</v>
      </c>
      <c r="D1649" s="33" t="s">
        <v>14</v>
      </c>
      <c r="E1649" s="34">
        <v>401.08</v>
      </c>
      <c r="F1649" s="33" t="s">
        <v>2020</v>
      </c>
    </row>
    <row r="1650" ht="15.75" customHeight="1">
      <c r="A1650" s="33" t="s">
        <v>81</v>
      </c>
      <c r="B1650" s="33" t="s">
        <v>384</v>
      </c>
      <c r="C1650" s="33" t="s">
        <v>640</v>
      </c>
      <c r="D1650" s="33" t="s">
        <v>14</v>
      </c>
      <c r="E1650" s="34">
        <v>62.7</v>
      </c>
      <c r="F1650" s="33" t="s">
        <v>1493</v>
      </c>
    </row>
    <row r="1651" ht="15.75" customHeight="1">
      <c r="A1651" s="33" t="s">
        <v>81</v>
      </c>
      <c r="B1651" s="33" t="s">
        <v>208</v>
      </c>
      <c r="C1651" s="33" t="s">
        <v>208</v>
      </c>
      <c r="D1651" s="33" t="s">
        <v>14</v>
      </c>
      <c r="E1651" s="34">
        <v>384.0</v>
      </c>
      <c r="F1651" s="33" t="s">
        <v>2021</v>
      </c>
    </row>
    <row r="1652" ht="15.75" customHeight="1">
      <c r="A1652" s="33" t="s">
        <v>81</v>
      </c>
      <c r="B1652" s="33" t="s">
        <v>474</v>
      </c>
      <c r="C1652" s="33" t="s">
        <v>474</v>
      </c>
      <c r="D1652" s="33" t="s">
        <v>14</v>
      </c>
      <c r="E1652" s="34">
        <v>100.0</v>
      </c>
      <c r="F1652" s="33" t="s">
        <v>2022</v>
      </c>
    </row>
    <row r="1653" ht="15.75" customHeight="1">
      <c r="A1653" s="33" t="s">
        <v>81</v>
      </c>
      <c r="B1653" s="33" t="s">
        <v>244</v>
      </c>
      <c r="C1653" s="33" t="s">
        <v>1386</v>
      </c>
      <c r="D1653" s="33" t="s">
        <v>14</v>
      </c>
      <c r="E1653" s="34">
        <v>150.0</v>
      </c>
      <c r="F1653" s="33" t="s">
        <v>2023</v>
      </c>
    </row>
    <row r="1654" ht="15.75" customHeight="1">
      <c r="A1654" s="33" t="s">
        <v>81</v>
      </c>
      <c r="B1654" s="33" t="s">
        <v>200</v>
      </c>
      <c r="C1654" s="33" t="s">
        <v>1141</v>
      </c>
      <c r="D1654" s="33" t="s">
        <v>14</v>
      </c>
      <c r="E1654" s="34">
        <v>2277.31</v>
      </c>
      <c r="F1654" s="33" t="s">
        <v>2024</v>
      </c>
    </row>
    <row r="1655" ht="15.75" customHeight="1">
      <c r="A1655" s="33" t="s">
        <v>81</v>
      </c>
      <c r="B1655" s="33" t="s">
        <v>239</v>
      </c>
      <c r="C1655" s="33" t="s">
        <v>814</v>
      </c>
      <c r="D1655" s="33" t="s">
        <v>18</v>
      </c>
      <c r="E1655" s="34">
        <v>3884.7</v>
      </c>
      <c r="F1655" s="33" t="s">
        <v>2025</v>
      </c>
    </row>
    <row r="1656" ht="15.75" customHeight="1">
      <c r="A1656" s="33" t="s">
        <v>81</v>
      </c>
      <c r="B1656" s="33" t="s">
        <v>345</v>
      </c>
      <c r="C1656" s="33" t="s">
        <v>2026</v>
      </c>
      <c r="D1656" s="33" t="s">
        <v>14</v>
      </c>
      <c r="E1656" s="34">
        <v>742.5</v>
      </c>
      <c r="F1656" s="33" t="s">
        <v>2027</v>
      </c>
    </row>
    <row r="1657" ht="15.75" customHeight="1">
      <c r="A1657" s="33" t="s">
        <v>81</v>
      </c>
      <c r="B1657" s="33" t="s">
        <v>103</v>
      </c>
      <c r="C1657" s="33" t="s">
        <v>103</v>
      </c>
      <c r="D1657" s="33" t="s">
        <v>30</v>
      </c>
      <c r="E1657" s="34">
        <v>6549.3</v>
      </c>
      <c r="F1657" s="33" t="s">
        <v>2028</v>
      </c>
    </row>
    <row r="1658" ht="15.75" customHeight="1">
      <c r="A1658" s="33" t="s">
        <v>81</v>
      </c>
      <c r="B1658" s="33" t="s">
        <v>29</v>
      </c>
      <c r="C1658" s="33" t="s">
        <v>29</v>
      </c>
      <c r="D1658" s="33" t="s">
        <v>28</v>
      </c>
      <c r="E1658" s="34">
        <v>38604.87</v>
      </c>
      <c r="F1658" s="33" t="s">
        <v>2029</v>
      </c>
    </row>
    <row r="1659" ht="15.75" customHeight="1">
      <c r="A1659" s="33" t="s">
        <v>81</v>
      </c>
      <c r="B1659" s="33" t="s">
        <v>161</v>
      </c>
      <c r="C1659" s="33" t="s">
        <v>596</v>
      </c>
      <c r="D1659" s="33" t="s">
        <v>38</v>
      </c>
      <c r="E1659" s="34">
        <v>815.18</v>
      </c>
      <c r="F1659" s="33" t="s">
        <v>2030</v>
      </c>
    </row>
    <row r="1660" ht="15.75" customHeight="1">
      <c r="A1660" s="33" t="s">
        <v>81</v>
      </c>
      <c r="B1660" s="33" t="s">
        <v>179</v>
      </c>
      <c r="C1660" s="33" t="s">
        <v>716</v>
      </c>
      <c r="D1660" s="33" t="s">
        <v>14</v>
      </c>
      <c r="E1660" s="34">
        <v>598.16</v>
      </c>
      <c r="F1660" s="33" t="s">
        <v>1795</v>
      </c>
    </row>
    <row r="1661" ht="15.75" customHeight="1">
      <c r="A1661" s="33" t="s">
        <v>81</v>
      </c>
      <c r="B1661" s="33" t="s">
        <v>338</v>
      </c>
      <c r="C1661" s="33" t="s">
        <v>338</v>
      </c>
      <c r="D1661" s="33" t="s">
        <v>16</v>
      </c>
      <c r="E1661" s="34">
        <v>50.0</v>
      </c>
      <c r="F1661" s="33" t="s">
        <v>720</v>
      </c>
    </row>
    <row r="1662" ht="15.75" customHeight="1">
      <c r="A1662" s="33" t="s">
        <v>81</v>
      </c>
      <c r="B1662" s="33" t="s">
        <v>163</v>
      </c>
      <c r="C1662" s="33" t="s">
        <v>163</v>
      </c>
      <c r="D1662" s="33" t="s">
        <v>14</v>
      </c>
      <c r="E1662" s="34">
        <v>927.37</v>
      </c>
      <c r="F1662" s="33" t="s">
        <v>722</v>
      </c>
    </row>
    <row r="1663" ht="15.75" customHeight="1">
      <c r="A1663" s="33" t="s">
        <v>81</v>
      </c>
      <c r="B1663" s="33" t="s">
        <v>205</v>
      </c>
      <c r="C1663" s="33" t="s">
        <v>205</v>
      </c>
      <c r="D1663" s="33" t="s">
        <v>14</v>
      </c>
      <c r="E1663" s="34">
        <v>1100.0</v>
      </c>
      <c r="F1663" s="33" t="s">
        <v>2031</v>
      </c>
    </row>
    <row r="1664" ht="15.75" customHeight="1">
      <c r="A1664" s="33" t="s">
        <v>81</v>
      </c>
      <c r="B1664" s="33" t="s">
        <v>180</v>
      </c>
      <c r="C1664" s="33" t="s">
        <v>180</v>
      </c>
      <c r="D1664" s="33" t="s">
        <v>36</v>
      </c>
      <c r="E1664" s="34">
        <v>943.35</v>
      </c>
      <c r="F1664" s="33" t="s">
        <v>2032</v>
      </c>
    </row>
    <row r="1665" ht="15.75" customHeight="1">
      <c r="A1665" s="33" t="s">
        <v>81</v>
      </c>
      <c r="B1665" s="33" t="s">
        <v>369</v>
      </c>
      <c r="C1665" s="33" t="s">
        <v>369</v>
      </c>
      <c r="D1665" s="33" t="s">
        <v>36</v>
      </c>
      <c r="E1665" s="34">
        <v>64.42</v>
      </c>
      <c r="F1665" s="33" t="s">
        <v>2033</v>
      </c>
    </row>
    <row r="1666" ht="15.75" customHeight="1">
      <c r="A1666" s="33" t="s">
        <v>81</v>
      </c>
      <c r="B1666" s="33" t="s">
        <v>382</v>
      </c>
      <c r="C1666" s="33" t="s">
        <v>382</v>
      </c>
      <c r="D1666" s="33" t="s">
        <v>36</v>
      </c>
      <c r="E1666" s="34">
        <v>54.4</v>
      </c>
      <c r="F1666" s="33" t="s">
        <v>2034</v>
      </c>
    </row>
    <row r="1667" ht="15.75" customHeight="1">
      <c r="A1667" s="33" t="s">
        <v>81</v>
      </c>
      <c r="B1667" s="33" t="s">
        <v>246</v>
      </c>
      <c r="C1667" s="33" t="s">
        <v>246</v>
      </c>
      <c r="D1667" s="33" t="s">
        <v>42</v>
      </c>
      <c r="E1667" s="34">
        <v>245.0</v>
      </c>
      <c r="F1667" s="33" t="s">
        <v>2035</v>
      </c>
    </row>
    <row r="1668" ht="15.75" customHeight="1">
      <c r="A1668" s="33" t="s">
        <v>81</v>
      </c>
      <c r="B1668" s="33" t="s">
        <v>449</v>
      </c>
      <c r="C1668" s="33" t="s">
        <v>1188</v>
      </c>
      <c r="D1668" s="33" t="s">
        <v>14</v>
      </c>
      <c r="E1668" s="34">
        <v>71.56</v>
      </c>
      <c r="F1668" s="33" t="s">
        <v>2036</v>
      </c>
    </row>
    <row r="1669" ht="15.75" customHeight="1">
      <c r="A1669" s="33" t="s">
        <v>81</v>
      </c>
      <c r="B1669" s="33" t="s">
        <v>514</v>
      </c>
      <c r="C1669" s="33" t="s">
        <v>514</v>
      </c>
      <c r="D1669" s="33" t="s">
        <v>14</v>
      </c>
      <c r="E1669" s="34">
        <v>25.0</v>
      </c>
      <c r="F1669" s="33" t="s">
        <v>2037</v>
      </c>
    </row>
    <row r="1670" ht="15.75" customHeight="1">
      <c r="A1670" s="33" t="s">
        <v>81</v>
      </c>
      <c r="B1670" s="33" t="s">
        <v>91</v>
      </c>
      <c r="C1670" s="33" t="s">
        <v>91</v>
      </c>
      <c r="D1670" s="33" t="s">
        <v>32</v>
      </c>
      <c r="E1670" s="34">
        <v>7940.8</v>
      </c>
      <c r="F1670" s="33" t="s">
        <v>2038</v>
      </c>
    </row>
    <row r="1671" ht="15.75" customHeight="1">
      <c r="A1671" s="33" t="s">
        <v>82</v>
      </c>
      <c r="B1671" s="33" t="s">
        <v>295</v>
      </c>
      <c r="C1671" s="33" t="s">
        <v>295</v>
      </c>
      <c r="D1671" s="33" t="s">
        <v>14</v>
      </c>
      <c r="E1671" s="34">
        <v>2440.0</v>
      </c>
      <c r="F1671" s="33" t="s">
        <v>2039</v>
      </c>
    </row>
    <row r="1672" ht="15.75" customHeight="1">
      <c r="A1672" s="33" t="s">
        <v>82</v>
      </c>
      <c r="B1672" s="33" t="s">
        <v>475</v>
      </c>
      <c r="C1672" s="33" t="s">
        <v>2040</v>
      </c>
      <c r="D1672" s="33" t="s">
        <v>14</v>
      </c>
      <c r="E1672" s="34">
        <v>100.0</v>
      </c>
      <c r="F1672" s="33" t="s">
        <v>2041</v>
      </c>
    </row>
    <row r="1673" ht="15.75" customHeight="1">
      <c r="A1673" s="33" t="s">
        <v>82</v>
      </c>
      <c r="B1673" s="33" t="s">
        <v>220</v>
      </c>
      <c r="C1673" s="33" t="s">
        <v>220</v>
      </c>
      <c r="D1673" s="33" t="s">
        <v>18</v>
      </c>
      <c r="E1673" s="34">
        <v>147.61</v>
      </c>
      <c r="F1673" s="33" t="s">
        <v>2042</v>
      </c>
    </row>
    <row r="1674" ht="15.75" customHeight="1">
      <c r="A1674" s="33" t="s">
        <v>82</v>
      </c>
      <c r="B1674" s="33" t="s">
        <v>236</v>
      </c>
      <c r="C1674" s="33" t="s">
        <v>236</v>
      </c>
      <c r="D1674" s="33" t="s">
        <v>14</v>
      </c>
      <c r="E1674" s="34">
        <v>4003.58</v>
      </c>
      <c r="F1674" s="33" t="s">
        <v>2043</v>
      </c>
    </row>
    <row r="1675" ht="15.75" customHeight="1">
      <c r="A1675" s="33" t="s">
        <v>82</v>
      </c>
      <c r="B1675" s="33" t="s">
        <v>283</v>
      </c>
      <c r="C1675" s="33" t="s">
        <v>1751</v>
      </c>
      <c r="D1675" s="33" t="s">
        <v>14</v>
      </c>
      <c r="E1675" s="34">
        <v>2594.98</v>
      </c>
      <c r="F1675" s="33" t="s">
        <v>2044</v>
      </c>
    </row>
    <row r="1676" ht="15.75" customHeight="1">
      <c r="A1676" s="33" t="s">
        <v>82</v>
      </c>
      <c r="B1676" s="33" t="s">
        <v>94</v>
      </c>
      <c r="C1676" s="33" t="s">
        <v>619</v>
      </c>
      <c r="D1676" s="33" t="s">
        <v>22</v>
      </c>
      <c r="E1676" s="34">
        <v>19558.33</v>
      </c>
      <c r="F1676" s="33" t="s">
        <v>2045</v>
      </c>
    </row>
    <row r="1677" ht="15.75" customHeight="1">
      <c r="A1677" s="33" t="s">
        <v>82</v>
      </c>
      <c r="B1677" s="33" t="s">
        <v>312</v>
      </c>
      <c r="C1677" s="33" t="s">
        <v>831</v>
      </c>
      <c r="D1677" s="33" t="s">
        <v>38</v>
      </c>
      <c r="E1677" s="34">
        <v>55.0</v>
      </c>
      <c r="F1677" s="33" t="s">
        <v>913</v>
      </c>
    </row>
    <row r="1678" ht="15.75" customHeight="1">
      <c r="A1678" s="33" t="s">
        <v>82</v>
      </c>
      <c r="B1678" s="33" t="s">
        <v>479</v>
      </c>
      <c r="C1678" s="33" t="s">
        <v>479</v>
      </c>
      <c r="D1678" s="33" t="s">
        <v>14</v>
      </c>
      <c r="E1678" s="34">
        <v>92.22</v>
      </c>
      <c r="F1678" s="33" t="s">
        <v>2046</v>
      </c>
    </row>
    <row r="1679" ht="15.75" customHeight="1">
      <c r="A1679" s="33" t="s">
        <v>82</v>
      </c>
      <c r="B1679" s="33" t="s">
        <v>95</v>
      </c>
      <c r="C1679" s="33" t="s">
        <v>538</v>
      </c>
      <c r="D1679" s="33" t="s">
        <v>14</v>
      </c>
      <c r="E1679" s="34">
        <v>32727.69</v>
      </c>
      <c r="F1679" s="33" t="s">
        <v>2047</v>
      </c>
    </row>
    <row r="1680" ht="15.75" customHeight="1">
      <c r="A1680" s="33" t="s">
        <v>82</v>
      </c>
      <c r="B1680" s="33" t="s">
        <v>365</v>
      </c>
      <c r="C1680" s="33" t="s">
        <v>765</v>
      </c>
      <c r="D1680" s="33" t="s">
        <v>36</v>
      </c>
      <c r="E1680" s="34">
        <v>380.0</v>
      </c>
      <c r="F1680" s="33" t="s">
        <v>2048</v>
      </c>
    </row>
    <row r="1681" ht="15.75" customHeight="1">
      <c r="A1681" s="33" t="s">
        <v>82</v>
      </c>
      <c r="B1681" s="33" t="s">
        <v>113</v>
      </c>
      <c r="C1681" s="33" t="s">
        <v>540</v>
      </c>
      <c r="D1681" s="33" t="s">
        <v>14</v>
      </c>
      <c r="E1681" s="34">
        <v>4261.19</v>
      </c>
      <c r="F1681" s="33" t="s">
        <v>1997</v>
      </c>
    </row>
    <row r="1682" ht="15.75" customHeight="1">
      <c r="A1682" s="33" t="s">
        <v>82</v>
      </c>
      <c r="B1682" s="33" t="s">
        <v>291</v>
      </c>
      <c r="C1682" s="33" t="s">
        <v>291</v>
      </c>
      <c r="D1682" s="33" t="s">
        <v>38</v>
      </c>
      <c r="E1682" s="34">
        <v>121.93</v>
      </c>
      <c r="F1682" s="33" t="s">
        <v>1308</v>
      </c>
    </row>
    <row r="1683" ht="15.75" customHeight="1">
      <c r="A1683" s="33" t="s">
        <v>82</v>
      </c>
      <c r="B1683" s="33" t="s">
        <v>250</v>
      </c>
      <c r="C1683" s="33" t="s">
        <v>250</v>
      </c>
      <c r="D1683" s="33" t="s">
        <v>14</v>
      </c>
      <c r="E1683" s="34">
        <v>216.33</v>
      </c>
      <c r="F1683" s="33" t="s">
        <v>2049</v>
      </c>
    </row>
    <row r="1684" ht="15.75" customHeight="1">
      <c r="A1684" s="33" t="s">
        <v>82</v>
      </c>
      <c r="B1684" s="33" t="s">
        <v>127</v>
      </c>
      <c r="C1684" s="33" t="s">
        <v>127</v>
      </c>
      <c r="D1684" s="33" t="s">
        <v>36</v>
      </c>
      <c r="E1684" s="34">
        <v>665.51</v>
      </c>
      <c r="F1684" s="33" t="s">
        <v>2050</v>
      </c>
    </row>
    <row r="1685" ht="15.75" customHeight="1">
      <c r="A1685" s="33" t="s">
        <v>82</v>
      </c>
      <c r="B1685" s="33" t="s">
        <v>142</v>
      </c>
      <c r="C1685" s="33" t="s">
        <v>142</v>
      </c>
      <c r="D1685" s="33" t="s">
        <v>36</v>
      </c>
      <c r="E1685" s="34">
        <v>2049.56</v>
      </c>
      <c r="F1685" s="33" t="s">
        <v>543</v>
      </c>
    </row>
    <row r="1686" ht="15.75" customHeight="1">
      <c r="A1686" s="33" t="s">
        <v>82</v>
      </c>
      <c r="B1686" s="33" t="s">
        <v>1819</v>
      </c>
      <c r="C1686" s="33" t="s">
        <v>425</v>
      </c>
      <c r="D1686" s="33" t="s">
        <v>22</v>
      </c>
      <c r="E1686" s="34">
        <v>15.52</v>
      </c>
      <c r="F1686" s="33" t="s">
        <v>2051</v>
      </c>
    </row>
    <row r="1687" ht="15.75" customHeight="1">
      <c r="A1687" s="33" t="s">
        <v>82</v>
      </c>
      <c r="B1687" s="33" t="s">
        <v>33</v>
      </c>
      <c r="C1687" s="33" t="s">
        <v>785</v>
      </c>
      <c r="D1687" s="33" t="s">
        <v>22</v>
      </c>
      <c r="E1687" s="34">
        <v>18900.57</v>
      </c>
      <c r="F1687" s="33" t="s">
        <v>2052</v>
      </c>
    </row>
    <row r="1688" ht="15.75" customHeight="1">
      <c r="A1688" s="33" t="s">
        <v>82</v>
      </c>
      <c r="B1688" s="33" t="s">
        <v>378</v>
      </c>
      <c r="C1688" s="33" t="s">
        <v>1423</v>
      </c>
      <c r="D1688" s="33" t="s">
        <v>14</v>
      </c>
      <c r="E1688" s="34">
        <v>407.4</v>
      </c>
      <c r="F1688" s="33" t="s">
        <v>2053</v>
      </c>
    </row>
    <row r="1689" ht="15.75" customHeight="1">
      <c r="A1689" s="33" t="s">
        <v>82</v>
      </c>
      <c r="B1689" s="33" t="s">
        <v>150</v>
      </c>
      <c r="C1689" s="33" t="s">
        <v>551</v>
      </c>
      <c r="D1689" s="33" t="s">
        <v>26</v>
      </c>
      <c r="E1689" s="34">
        <v>466.0</v>
      </c>
      <c r="F1689" s="33" t="s">
        <v>2005</v>
      </c>
    </row>
    <row r="1690" ht="15.75" customHeight="1">
      <c r="A1690" s="33" t="s">
        <v>82</v>
      </c>
      <c r="B1690" s="33" t="s">
        <v>141</v>
      </c>
      <c r="C1690" s="33" t="s">
        <v>141</v>
      </c>
      <c r="D1690" s="33" t="s">
        <v>14</v>
      </c>
      <c r="E1690" s="34">
        <v>344.9</v>
      </c>
      <c r="F1690" s="33" t="s">
        <v>2054</v>
      </c>
    </row>
    <row r="1691" ht="15.75" customHeight="1">
      <c r="A1691" s="33" t="s">
        <v>82</v>
      </c>
      <c r="B1691" s="33" t="s">
        <v>175</v>
      </c>
      <c r="C1691" s="33" t="s">
        <v>175</v>
      </c>
      <c r="D1691" s="33" t="s">
        <v>14</v>
      </c>
      <c r="E1691" s="34">
        <v>2200.0</v>
      </c>
      <c r="F1691" s="33" t="s">
        <v>2055</v>
      </c>
    </row>
    <row r="1692" ht="15.75" customHeight="1">
      <c r="A1692" s="33" t="s">
        <v>82</v>
      </c>
      <c r="B1692" s="33" t="s">
        <v>98</v>
      </c>
      <c r="C1692" s="33" t="s">
        <v>1483</v>
      </c>
      <c r="D1692" s="33" t="s">
        <v>26</v>
      </c>
      <c r="E1692" s="34">
        <v>1607.97</v>
      </c>
      <c r="F1692" s="33" t="s">
        <v>2056</v>
      </c>
    </row>
    <row r="1693" ht="15.75" customHeight="1">
      <c r="A1693" s="33" t="s">
        <v>82</v>
      </c>
      <c r="B1693" s="33" t="s">
        <v>96</v>
      </c>
      <c r="C1693" s="33" t="s">
        <v>925</v>
      </c>
      <c r="D1693" s="33" t="s">
        <v>20</v>
      </c>
      <c r="E1693" s="34">
        <v>3465.0</v>
      </c>
      <c r="F1693" s="33" t="s">
        <v>1825</v>
      </c>
    </row>
    <row r="1694" ht="15.75" customHeight="1">
      <c r="A1694" s="33" t="s">
        <v>82</v>
      </c>
      <c r="B1694" s="33" t="s">
        <v>383</v>
      </c>
      <c r="C1694" s="33" t="s">
        <v>383</v>
      </c>
      <c r="D1694" s="33" t="s">
        <v>14</v>
      </c>
      <c r="E1694" s="34">
        <v>28.37</v>
      </c>
      <c r="F1694" s="33" t="s">
        <v>2057</v>
      </c>
    </row>
    <row r="1695" ht="15.75" customHeight="1">
      <c r="A1695" s="33" t="s">
        <v>82</v>
      </c>
      <c r="B1695" s="33" t="s">
        <v>155</v>
      </c>
      <c r="C1695" s="33" t="s">
        <v>1436</v>
      </c>
      <c r="D1695" s="33" t="s">
        <v>14</v>
      </c>
      <c r="E1695" s="34">
        <v>1135.0</v>
      </c>
      <c r="F1695" s="33" t="s">
        <v>2058</v>
      </c>
    </row>
    <row r="1696" ht="15.75" customHeight="1">
      <c r="A1696" s="33" t="s">
        <v>82</v>
      </c>
      <c r="B1696" s="33" t="s">
        <v>152</v>
      </c>
      <c r="C1696" s="33" t="s">
        <v>152</v>
      </c>
      <c r="D1696" s="33" t="s">
        <v>18</v>
      </c>
      <c r="E1696" s="34">
        <v>2022.5</v>
      </c>
      <c r="F1696" s="33" t="s">
        <v>2059</v>
      </c>
    </row>
    <row r="1697" ht="15.75" customHeight="1">
      <c r="A1697" s="33" t="s">
        <v>82</v>
      </c>
      <c r="B1697" s="33" t="s">
        <v>153</v>
      </c>
      <c r="C1697" s="33" t="s">
        <v>153</v>
      </c>
      <c r="D1697" s="33" t="s">
        <v>14</v>
      </c>
      <c r="E1697" s="34">
        <v>2022.5</v>
      </c>
      <c r="F1697" s="33" t="s">
        <v>2059</v>
      </c>
    </row>
    <row r="1698" ht="15.75" customHeight="1">
      <c r="A1698" s="33" t="s">
        <v>82</v>
      </c>
      <c r="B1698" s="33" t="s">
        <v>396</v>
      </c>
      <c r="C1698" s="33" t="s">
        <v>396</v>
      </c>
      <c r="D1698" s="33" t="s">
        <v>14</v>
      </c>
      <c r="E1698" s="34">
        <v>30.14</v>
      </c>
      <c r="F1698" s="33" t="s">
        <v>2060</v>
      </c>
    </row>
    <row r="1699" ht="15.75" customHeight="1">
      <c r="A1699" s="33" t="s">
        <v>82</v>
      </c>
      <c r="B1699" s="33" t="s">
        <v>191</v>
      </c>
      <c r="C1699" s="33" t="s">
        <v>191</v>
      </c>
      <c r="D1699" s="33" t="s">
        <v>14</v>
      </c>
      <c r="E1699" s="34">
        <v>140.0</v>
      </c>
      <c r="F1699" s="33" t="s">
        <v>933</v>
      </c>
    </row>
    <row r="1700" ht="15.75" customHeight="1">
      <c r="A1700" s="33" t="s">
        <v>82</v>
      </c>
      <c r="B1700" s="33" t="s">
        <v>211</v>
      </c>
      <c r="C1700" s="33" t="s">
        <v>211</v>
      </c>
      <c r="D1700" s="33" t="s">
        <v>24</v>
      </c>
      <c r="E1700" s="34">
        <v>335.0</v>
      </c>
      <c r="F1700" s="33" t="s">
        <v>2061</v>
      </c>
    </row>
    <row r="1701" ht="15.75" customHeight="1">
      <c r="A1701" s="33" t="s">
        <v>82</v>
      </c>
      <c r="B1701" s="33" t="s">
        <v>99</v>
      </c>
      <c r="C1701" s="33" t="s">
        <v>99</v>
      </c>
      <c r="D1701" s="33" t="s">
        <v>16</v>
      </c>
      <c r="E1701" s="34">
        <v>3640.0</v>
      </c>
      <c r="F1701" s="33" t="s">
        <v>2062</v>
      </c>
    </row>
    <row r="1702" ht="15.75" customHeight="1">
      <c r="A1702" s="33" t="s">
        <v>82</v>
      </c>
      <c r="B1702" s="33" t="s">
        <v>465</v>
      </c>
      <c r="C1702" s="33" t="s">
        <v>465</v>
      </c>
      <c r="D1702" s="33" t="s">
        <v>14</v>
      </c>
      <c r="E1702" s="34">
        <v>20.0</v>
      </c>
      <c r="F1702" s="33" t="s">
        <v>2063</v>
      </c>
    </row>
    <row r="1703" ht="15.75" customHeight="1">
      <c r="A1703" s="33" t="s">
        <v>82</v>
      </c>
      <c r="B1703" s="33" t="s">
        <v>268</v>
      </c>
      <c r="C1703" s="33" t="s">
        <v>268</v>
      </c>
      <c r="D1703" s="33" t="s">
        <v>14</v>
      </c>
      <c r="E1703" s="34">
        <v>514.32</v>
      </c>
      <c r="F1703" s="33" t="s">
        <v>2064</v>
      </c>
    </row>
    <row r="1704" ht="15.75" customHeight="1">
      <c r="A1704" s="33" t="s">
        <v>82</v>
      </c>
      <c r="B1704" s="33" t="s">
        <v>128</v>
      </c>
      <c r="C1704" s="33" t="s">
        <v>128</v>
      </c>
      <c r="D1704" s="33" t="s">
        <v>22</v>
      </c>
      <c r="E1704" s="34">
        <v>27074.99</v>
      </c>
      <c r="F1704" s="33" t="s">
        <v>2065</v>
      </c>
    </row>
    <row r="1705" ht="15.75" customHeight="1">
      <c r="A1705" s="33" t="s">
        <v>82</v>
      </c>
      <c r="B1705" s="33" t="s">
        <v>184</v>
      </c>
      <c r="C1705" s="33" t="s">
        <v>581</v>
      </c>
      <c r="D1705" s="33" t="s">
        <v>30</v>
      </c>
      <c r="E1705" s="34">
        <v>500.0</v>
      </c>
      <c r="F1705" s="33" t="s">
        <v>2066</v>
      </c>
    </row>
    <row r="1706" ht="15.75" customHeight="1">
      <c r="A1706" s="33" t="s">
        <v>82</v>
      </c>
      <c r="B1706" s="33" t="s">
        <v>235</v>
      </c>
      <c r="C1706" s="33" t="s">
        <v>842</v>
      </c>
      <c r="D1706" s="33" t="s">
        <v>30</v>
      </c>
      <c r="E1706" s="34">
        <v>481.65</v>
      </c>
      <c r="F1706" s="33" t="s">
        <v>843</v>
      </c>
    </row>
    <row r="1707" ht="15.75" customHeight="1">
      <c r="A1707" s="33" t="s">
        <v>82</v>
      </c>
      <c r="B1707" s="33" t="s">
        <v>144</v>
      </c>
      <c r="C1707" s="33" t="s">
        <v>144</v>
      </c>
      <c r="D1707" s="33" t="s">
        <v>18</v>
      </c>
      <c r="E1707" s="34">
        <v>321.6</v>
      </c>
      <c r="F1707" s="33" t="s">
        <v>644</v>
      </c>
    </row>
    <row r="1708" ht="15.75" customHeight="1">
      <c r="A1708" s="33" t="s">
        <v>82</v>
      </c>
      <c r="B1708" s="33" t="s">
        <v>197</v>
      </c>
      <c r="C1708" s="33" t="s">
        <v>197</v>
      </c>
      <c r="D1708" s="33" t="s">
        <v>14</v>
      </c>
      <c r="E1708" s="34">
        <v>916.67</v>
      </c>
      <c r="F1708" s="33" t="s">
        <v>2067</v>
      </c>
    </row>
    <row r="1709" ht="15.75" customHeight="1">
      <c r="A1709" s="33" t="s">
        <v>82</v>
      </c>
      <c r="B1709" s="33" t="s">
        <v>219</v>
      </c>
      <c r="C1709" s="33" t="s">
        <v>219</v>
      </c>
      <c r="D1709" s="33" t="s">
        <v>14</v>
      </c>
      <c r="E1709" s="34">
        <v>129.3</v>
      </c>
      <c r="F1709" s="33" t="s">
        <v>2068</v>
      </c>
    </row>
    <row r="1710" ht="15.75" customHeight="1">
      <c r="A1710" s="33" t="s">
        <v>82</v>
      </c>
      <c r="B1710" s="33" t="s">
        <v>190</v>
      </c>
      <c r="C1710" s="33" t="s">
        <v>190</v>
      </c>
      <c r="D1710" s="33" t="s">
        <v>40</v>
      </c>
      <c r="E1710" s="34">
        <v>656.89</v>
      </c>
      <c r="F1710" s="33" t="s">
        <v>2069</v>
      </c>
    </row>
    <row r="1711" ht="15.75" customHeight="1">
      <c r="A1711" s="33" t="s">
        <v>82</v>
      </c>
      <c r="B1711" s="33" t="s">
        <v>513</v>
      </c>
      <c r="C1711" s="33" t="s">
        <v>513</v>
      </c>
      <c r="D1711" s="33" t="s">
        <v>14</v>
      </c>
      <c r="E1711" s="34">
        <v>30.62</v>
      </c>
      <c r="F1711" s="33" t="s">
        <v>2070</v>
      </c>
    </row>
    <row r="1712" ht="15.75" customHeight="1">
      <c r="A1712" s="33" t="s">
        <v>82</v>
      </c>
      <c r="B1712" s="33" t="s">
        <v>298</v>
      </c>
      <c r="C1712" s="33" t="s">
        <v>594</v>
      </c>
      <c r="D1712" s="33" t="s">
        <v>14</v>
      </c>
      <c r="E1712" s="34">
        <v>137.04</v>
      </c>
      <c r="F1712" s="33" t="s">
        <v>595</v>
      </c>
    </row>
    <row r="1713" ht="15.75" customHeight="1">
      <c r="A1713" s="33" t="s">
        <v>82</v>
      </c>
      <c r="B1713" s="33" t="s">
        <v>161</v>
      </c>
      <c r="C1713" s="33" t="s">
        <v>596</v>
      </c>
      <c r="D1713" s="33" t="s">
        <v>38</v>
      </c>
      <c r="E1713" s="34">
        <v>451.33</v>
      </c>
      <c r="F1713" s="33" t="s">
        <v>1339</v>
      </c>
    </row>
    <row r="1714" ht="15.75" customHeight="1">
      <c r="A1714" s="33" t="s">
        <v>82</v>
      </c>
      <c r="B1714" s="33" t="s">
        <v>338</v>
      </c>
      <c r="C1714" s="33" t="s">
        <v>338</v>
      </c>
      <c r="D1714" s="33" t="s">
        <v>16</v>
      </c>
      <c r="E1714" s="34">
        <v>50.0</v>
      </c>
      <c r="F1714" s="33" t="s">
        <v>2071</v>
      </c>
    </row>
    <row r="1715" ht="15.75" customHeight="1">
      <c r="A1715" s="33" t="s">
        <v>82</v>
      </c>
      <c r="B1715" s="33" t="s">
        <v>292</v>
      </c>
      <c r="C1715" s="33" t="s">
        <v>292</v>
      </c>
      <c r="D1715" s="33" t="s">
        <v>18</v>
      </c>
      <c r="E1715" s="34">
        <v>231.05</v>
      </c>
      <c r="F1715" s="33" t="s">
        <v>599</v>
      </c>
    </row>
    <row r="1716" ht="15.75" customHeight="1">
      <c r="A1716" s="33" t="s">
        <v>82</v>
      </c>
      <c r="B1716" s="33" t="s">
        <v>328</v>
      </c>
      <c r="C1716" s="33" t="s">
        <v>328</v>
      </c>
      <c r="D1716" s="33" t="s">
        <v>36</v>
      </c>
      <c r="E1716" s="34">
        <v>112.02</v>
      </c>
      <c r="F1716" s="33" t="s">
        <v>600</v>
      </c>
    </row>
    <row r="1717" ht="15.75" customHeight="1">
      <c r="A1717" s="33" t="s">
        <v>82</v>
      </c>
      <c r="B1717" s="33" t="s">
        <v>246</v>
      </c>
      <c r="C1717" s="33" t="s">
        <v>246</v>
      </c>
      <c r="D1717" s="33" t="s">
        <v>42</v>
      </c>
      <c r="E1717" s="34">
        <v>140.0</v>
      </c>
      <c r="F1717" s="33" t="s">
        <v>2072</v>
      </c>
    </row>
    <row r="1718" ht="15.75" customHeight="1">
      <c r="A1718" s="33" t="s">
        <v>82</v>
      </c>
      <c r="B1718" s="33" t="s">
        <v>91</v>
      </c>
      <c r="C1718" s="33" t="s">
        <v>91</v>
      </c>
      <c r="D1718" s="33" t="s">
        <v>32</v>
      </c>
      <c r="E1718" s="34">
        <v>11484.8</v>
      </c>
      <c r="F1718" s="33" t="s">
        <v>2073</v>
      </c>
    </row>
    <row r="1719" ht="15.75" customHeight="1">
      <c r="A1719" s="33" t="s">
        <v>83</v>
      </c>
      <c r="B1719" s="33" t="s">
        <v>269</v>
      </c>
      <c r="C1719" s="33" t="s">
        <v>856</v>
      </c>
      <c r="D1719" s="33" t="s">
        <v>14</v>
      </c>
      <c r="E1719" s="34">
        <v>629.16</v>
      </c>
      <c r="F1719" s="33" t="s">
        <v>2074</v>
      </c>
    </row>
    <row r="1720" ht="15.75" customHeight="1">
      <c r="A1720" s="33" t="s">
        <v>83</v>
      </c>
      <c r="B1720" s="33" t="s">
        <v>222</v>
      </c>
      <c r="C1720" s="33" t="s">
        <v>664</v>
      </c>
      <c r="D1720" s="33" t="s">
        <v>38</v>
      </c>
      <c r="E1720" s="34">
        <v>821.08</v>
      </c>
      <c r="F1720" s="33" t="s">
        <v>2075</v>
      </c>
    </row>
    <row r="1721" ht="15.75" customHeight="1">
      <c r="A1721" s="33" t="s">
        <v>83</v>
      </c>
      <c r="B1721" s="33" t="s">
        <v>182</v>
      </c>
      <c r="C1721" s="33" t="s">
        <v>760</v>
      </c>
      <c r="D1721" s="33" t="s">
        <v>14</v>
      </c>
      <c r="E1721" s="34">
        <v>7965.0</v>
      </c>
      <c r="F1721" s="33" t="s">
        <v>2076</v>
      </c>
    </row>
    <row r="1722" ht="15.75" customHeight="1">
      <c r="A1722" s="33" t="s">
        <v>83</v>
      </c>
      <c r="B1722" s="33" t="s">
        <v>508</v>
      </c>
      <c r="C1722" s="33" t="s">
        <v>508</v>
      </c>
      <c r="D1722" s="33" t="s">
        <v>14</v>
      </c>
      <c r="E1722" s="34">
        <v>35.0</v>
      </c>
      <c r="F1722" s="33" t="s">
        <v>2077</v>
      </c>
    </row>
    <row r="1723" ht="15.75" customHeight="1">
      <c r="A1723" s="33" t="s">
        <v>83</v>
      </c>
      <c r="B1723" s="33" t="s">
        <v>110</v>
      </c>
      <c r="C1723" s="33" t="s">
        <v>110</v>
      </c>
      <c r="D1723" s="33" t="s">
        <v>36</v>
      </c>
      <c r="E1723" s="34">
        <v>5559.76</v>
      </c>
      <c r="F1723" s="33" t="s">
        <v>2078</v>
      </c>
    </row>
    <row r="1724" ht="15.75" customHeight="1">
      <c r="A1724" s="33" t="s">
        <v>83</v>
      </c>
      <c r="B1724" s="33" t="s">
        <v>445</v>
      </c>
      <c r="C1724" s="33" t="s">
        <v>2079</v>
      </c>
      <c r="D1724" s="33" t="s">
        <v>14</v>
      </c>
      <c r="E1724" s="34">
        <v>210.0</v>
      </c>
      <c r="F1724" s="33" t="s">
        <v>2080</v>
      </c>
    </row>
    <row r="1725" ht="15.75" customHeight="1">
      <c r="A1725" s="33" t="s">
        <v>83</v>
      </c>
      <c r="B1725" s="33" t="s">
        <v>106</v>
      </c>
      <c r="C1725" s="33" t="s">
        <v>2081</v>
      </c>
      <c r="D1725" s="33" t="s">
        <v>26</v>
      </c>
      <c r="E1725" s="34">
        <v>72684.9</v>
      </c>
      <c r="F1725" s="33" t="s">
        <v>2082</v>
      </c>
    </row>
    <row r="1726" ht="15.75" customHeight="1">
      <c r="A1726" s="33" t="s">
        <v>83</v>
      </c>
      <c r="B1726" s="33" t="s">
        <v>27</v>
      </c>
      <c r="C1726" s="33" t="s">
        <v>829</v>
      </c>
      <c r="D1726" s="33" t="s">
        <v>24</v>
      </c>
      <c r="E1726" s="34">
        <v>500.0</v>
      </c>
      <c r="F1726" s="33" t="s">
        <v>2083</v>
      </c>
    </row>
    <row r="1727" ht="15.75" customHeight="1">
      <c r="A1727" s="33" t="s">
        <v>83</v>
      </c>
      <c r="B1727" s="33" t="s">
        <v>312</v>
      </c>
      <c r="C1727" s="33" t="s">
        <v>831</v>
      </c>
      <c r="D1727" s="33" t="s">
        <v>38</v>
      </c>
      <c r="E1727" s="34">
        <v>275.0</v>
      </c>
      <c r="F1727" s="33" t="s">
        <v>2084</v>
      </c>
    </row>
    <row r="1728" ht="15.75" customHeight="1">
      <c r="A1728" s="33" t="s">
        <v>83</v>
      </c>
      <c r="B1728" s="33" t="s">
        <v>393</v>
      </c>
      <c r="C1728" s="33" t="s">
        <v>393</v>
      </c>
      <c r="D1728" s="33" t="s">
        <v>14</v>
      </c>
      <c r="E1728" s="34">
        <v>150.0</v>
      </c>
      <c r="F1728" s="33" t="s">
        <v>1115</v>
      </c>
    </row>
    <row r="1729" ht="15.75" customHeight="1">
      <c r="A1729" s="33" t="s">
        <v>83</v>
      </c>
      <c r="B1729" s="33" t="s">
        <v>113</v>
      </c>
      <c r="C1729" s="33" t="s">
        <v>540</v>
      </c>
      <c r="D1729" s="33" t="s">
        <v>14</v>
      </c>
      <c r="E1729" s="34">
        <v>5052.61</v>
      </c>
      <c r="F1729" s="33" t="s">
        <v>2085</v>
      </c>
    </row>
    <row r="1730" ht="15.75" customHeight="1">
      <c r="A1730" s="33" t="s">
        <v>83</v>
      </c>
      <c r="B1730" s="33" t="s">
        <v>291</v>
      </c>
      <c r="C1730" s="33" t="s">
        <v>291</v>
      </c>
      <c r="D1730" s="33" t="s">
        <v>38</v>
      </c>
      <c r="E1730" s="34">
        <v>148.98</v>
      </c>
      <c r="F1730" s="33" t="s">
        <v>1308</v>
      </c>
    </row>
    <row r="1731" ht="15.75" customHeight="1">
      <c r="A1731" s="33" t="s">
        <v>83</v>
      </c>
      <c r="B1731" s="33" t="s">
        <v>127</v>
      </c>
      <c r="C1731" s="33" t="s">
        <v>127</v>
      </c>
      <c r="D1731" s="33" t="s">
        <v>36</v>
      </c>
      <c r="E1731" s="34">
        <v>1558.17</v>
      </c>
      <c r="F1731" s="33" t="s">
        <v>2086</v>
      </c>
    </row>
    <row r="1732" ht="15.75" customHeight="1">
      <c r="A1732" s="33" t="s">
        <v>83</v>
      </c>
      <c r="B1732" s="33" t="s">
        <v>481</v>
      </c>
      <c r="C1732" s="33" t="s">
        <v>481</v>
      </c>
      <c r="D1732" s="33" t="s">
        <v>14</v>
      </c>
      <c r="E1732" s="34">
        <v>85.0</v>
      </c>
      <c r="F1732" s="33" t="s">
        <v>2087</v>
      </c>
    </row>
    <row r="1733" ht="15.75" customHeight="1">
      <c r="A1733" s="33" t="s">
        <v>83</v>
      </c>
      <c r="B1733" s="33" t="s">
        <v>154</v>
      </c>
      <c r="C1733" s="33" t="s">
        <v>154</v>
      </c>
      <c r="D1733" s="33" t="s">
        <v>14</v>
      </c>
      <c r="E1733" s="34">
        <v>19779.0</v>
      </c>
      <c r="F1733" s="33" t="s">
        <v>2088</v>
      </c>
    </row>
    <row r="1734" ht="15.75" customHeight="1">
      <c r="A1734" s="33" t="s">
        <v>83</v>
      </c>
      <c r="B1734" s="33" t="s">
        <v>247</v>
      </c>
      <c r="C1734" s="33" t="s">
        <v>961</v>
      </c>
      <c r="D1734" s="33" t="s">
        <v>14</v>
      </c>
      <c r="E1734" s="34">
        <v>2366.0</v>
      </c>
      <c r="F1734" s="33" t="s">
        <v>2089</v>
      </c>
    </row>
    <row r="1735" ht="15.75" customHeight="1">
      <c r="A1735" s="33" t="s">
        <v>83</v>
      </c>
      <c r="B1735" s="33" t="s">
        <v>301</v>
      </c>
      <c r="C1735" s="33" t="s">
        <v>547</v>
      </c>
      <c r="D1735" s="33" t="s">
        <v>14</v>
      </c>
      <c r="E1735" s="34">
        <v>60.0</v>
      </c>
      <c r="F1735" s="33" t="s">
        <v>2090</v>
      </c>
    </row>
    <row r="1736" ht="15.75" customHeight="1">
      <c r="A1736" s="33" t="s">
        <v>83</v>
      </c>
      <c r="B1736" s="33" t="s">
        <v>319</v>
      </c>
      <c r="C1736" s="33" t="s">
        <v>319</v>
      </c>
      <c r="D1736" s="33" t="s">
        <v>14</v>
      </c>
      <c r="E1736" s="34">
        <v>300.0</v>
      </c>
      <c r="F1736" s="33" t="s">
        <v>2091</v>
      </c>
    </row>
    <row r="1737" ht="15.75" customHeight="1">
      <c r="A1737" s="33" t="s">
        <v>83</v>
      </c>
      <c r="B1737" s="33" t="s">
        <v>218</v>
      </c>
      <c r="C1737" s="33" t="s">
        <v>553</v>
      </c>
      <c r="D1737" s="33" t="s">
        <v>40</v>
      </c>
      <c r="E1737" s="34">
        <v>174.0</v>
      </c>
      <c r="F1737" s="33" t="s">
        <v>2092</v>
      </c>
    </row>
    <row r="1738" ht="15.75" customHeight="1">
      <c r="A1738" s="33" t="s">
        <v>83</v>
      </c>
      <c r="B1738" s="33" t="s">
        <v>146</v>
      </c>
      <c r="C1738" s="33" t="s">
        <v>1056</v>
      </c>
      <c r="D1738" s="33" t="s">
        <v>18</v>
      </c>
      <c r="E1738" s="34">
        <v>7660.45</v>
      </c>
      <c r="F1738" s="33" t="s">
        <v>2093</v>
      </c>
    </row>
    <row r="1739" ht="15.75" customHeight="1">
      <c r="A1739" s="33" t="s">
        <v>83</v>
      </c>
      <c r="B1739" s="33" t="s">
        <v>289</v>
      </c>
      <c r="C1739" s="33" t="s">
        <v>555</v>
      </c>
      <c r="D1739" s="33" t="s">
        <v>14</v>
      </c>
      <c r="E1739" s="34">
        <v>383.9</v>
      </c>
      <c r="F1739" s="33" t="s">
        <v>2094</v>
      </c>
    </row>
    <row r="1740" ht="15.75" customHeight="1">
      <c r="A1740" s="33" t="s">
        <v>83</v>
      </c>
      <c r="B1740" s="33" t="s">
        <v>274</v>
      </c>
      <c r="C1740" s="33" t="s">
        <v>274</v>
      </c>
      <c r="D1740" s="33" t="s">
        <v>14</v>
      </c>
      <c r="E1740" s="34">
        <v>420.0</v>
      </c>
      <c r="F1740" s="33" t="s">
        <v>2095</v>
      </c>
    </row>
    <row r="1741" ht="15.75" customHeight="1">
      <c r="A1741" s="33" t="s">
        <v>83</v>
      </c>
      <c r="B1741" s="33" t="s">
        <v>196</v>
      </c>
      <c r="C1741" s="33" t="s">
        <v>196</v>
      </c>
      <c r="D1741" s="33" t="s">
        <v>30</v>
      </c>
      <c r="E1741" s="34">
        <v>183.95</v>
      </c>
      <c r="F1741" s="33" t="s">
        <v>1532</v>
      </c>
    </row>
    <row r="1742" ht="15.75" customHeight="1">
      <c r="A1742" s="33" t="s">
        <v>83</v>
      </c>
      <c r="B1742" s="33" t="s">
        <v>174</v>
      </c>
      <c r="C1742" s="33" t="s">
        <v>1713</v>
      </c>
      <c r="D1742" s="33" t="s">
        <v>22</v>
      </c>
      <c r="E1742" s="34">
        <v>7025.0</v>
      </c>
      <c r="F1742" s="33" t="s">
        <v>2096</v>
      </c>
    </row>
    <row r="1743" ht="15.75" customHeight="1">
      <c r="A1743" s="33" t="s">
        <v>83</v>
      </c>
      <c r="B1743" s="33" t="s">
        <v>25</v>
      </c>
      <c r="C1743" s="33" t="s">
        <v>1209</v>
      </c>
      <c r="D1743" s="33" t="s">
        <v>18</v>
      </c>
      <c r="E1743" s="34">
        <v>114810.0</v>
      </c>
      <c r="F1743" s="33" t="s">
        <v>2097</v>
      </c>
    </row>
    <row r="1744" ht="15.75" customHeight="1">
      <c r="A1744" s="33" t="s">
        <v>83</v>
      </c>
      <c r="B1744" s="33" t="s">
        <v>221</v>
      </c>
      <c r="C1744" s="33" t="s">
        <v>221</v>
      </c>
      <c r="D1744" s="33" t="s">
        <v>18</v>
      </c>
      <c r="E1744" s="34">
        <v>2289.74</v>
      </c>
      <c r="F1744" s="33" t="s">
        <v>2098</v>
      </c>
    </row>
    <row r="1745" ht="15.75" customHeight="1">
      <c r="A1745" s="33" t="s">
        <v>83</v>
      </c>
      <c r="B1745" s="33" t="s">
        <v>428</v>
      </c>
      <c r="C1745" s="33" t="s">
        <v>2099</v>
      </c>
      <c r="D1745" s="33" t="s">
        <v>14</v>
      </c>
      <c r="E1745" s="34">
        <v>317.0</v>
      </c>
      <c r="F1745" s="33" t="s">
        <v>2100</v>
      </c>
    </row>
    <row r="1746" ht="15.75" customHeight="1">
      <c r="A1746" s="33" t="s">
        <v>83</v>
      </c>
      <c r="B1746" s="33" t="s">
        <v>442</v>
      </c>
      <c r="C1746" s="33" t="s">
        <v>442</v>
      </c>
      <c r="D1746" s="33" t="s">
        <v>14</v>
      </c>
      <c r="E1746" s="34">
        <v>237.15</v>
      </c>
      <c r="F1746" s="33" t="s">
        <v>2101</v>
      </c>
    </row>
    <row r="1747" ht="15.75" customHeight="1">
      <c r="A1747" s="33" t="s">
        <v>83</v>
      </c>
      <c r="B1747" s="33" t="s">
        <v>101</v>
      </c>
      <c r="C1747" s="33" t="s">
        <v>2102</v>
      </c>
      <c r="D1747" s="33" t="s">
        <v>14</v>
      </c>
      <c r="E1747" s="34">
        <v>96681.5</v>
      </c>
      <c r="F1747" s="33" t="s">
        <v>2103</v>
      </c>
    </row>
    <row r="1748" ht="15.75" customHeight="1">
      <c r="A1748" s="33" t="s">
        <v>83</v>
      </c>
      <c r="B1748" s="33" t="s">
        <v>515</v>
      </c>
      <c r="C1748" s="33" t="s">
        <v>515</v>
      </c>
      <c r="D1748" s="33" t="s">
        <v>14</v>
      </c>
      <c r="E1748" s="34">
        <v>20.0</v>
      </c>
      <c r="F1748" s="33" t="s">
        <v>2104</v>
      </c>
    </row>
    <row r="1749" ht="15.75" customHeight="1">
      <c r="A1749" s="33" t="s">
        <v>83</v>
      </c>
      <c r="B1749" s="33" t="s">
        <v>374</v>
      </c>
      <c r="C1749" s="33" t="s">
        <v>2105</v>
      </c>
      <c r="D1749" s="33" t="s">
        <v>14</v>
      </c>
      <c r="E1749" s="34">
        <v>775.0</v>
      </c>
      <c r="F1749" s="33" t="s">
        <v>2106</v>
      </c>
    </row>
    <row r="1750" ht="15.75" customHeight="1">
      <c r="A1750" s="33" t="s">
        <v>83</v>
      </c>
      <c r="B1750" s="33" t="s">
        <v>224</v>
      </c>
      <c r="C1750" s="33" t="s">
        <v>224</v>
      </c>
      <c r="D1750" s="33" t="s">
        <v>38</v>
      </c>
      <c r="E1750" s="34">
        <v>556.36</v>
      </c>
      <c r="F1750" s="33" t="s">
        <v>2107</v>
      </c>
    </row>
    <row r="1751" ht="15.75" customHeight="1">
      <c r="A1751" s="33" t="s">
        <v>83</v>
      </c>
      <c r="B1751" s="33" t="s">
        <v>160</v>
      </c>
      <c r="C1751" s="33" t="s">
        <v>2108</v>
      </c>
      <c r="D1751" s="33" t="s">
        <v>14</v>
      </c>
      <c r="E1751" s="34">
        <v>18451.82</v>
      </c>
      <c r="F1751" s="33" t="s">
        <v>2109</v>
      </c>
    </row>
    <row r="1752" ht="15.75" customHeight="1">
      <c r="A1752" s="33" t="s">
        <v>83</v>
      </c>
      <c r="B1752" s="33" t="s">
        <v>99</v>
      </c>
      <c r="C1752" s="33" t="s">
        <v>99</v>
      </c>
      <c r="D1752" s="33" t="s">
        <v>16</v>
      </c>
      <c r="E1752" s="34">
        <v>3755.0</v>
      </c>
      <c r="F1752" s="33" t="s">
        <v>2110</v>
      </c>
    </row>
    <row r="1753" ht="15.75" customHeight="1">
      <c r="A1753" s="33" t="s">
        <v>83</v>
      </c>
      <c r="B1753" s="33" t="s">
        <v>15</v>
      </c>
      <c r="C1753" s="33" t="s">
        <v>15</v>
      </c>
      <c r="D1753" s="33" t="s">
        <v>20</v>
      </c>
      <c r="E1753" s="34">
        <v>30386.9</v>
      </c>
      <c r="F1753" s="33" t="s">
        <v>749</v>
      </c>
    </row>
    <row r="1754" ht="15.75" customHeight="1">
      <c r="A1754" s="33" t="s">
        <v>83</v>
      </c>
      <c r="B1754" s="33" t="s">
        <v>384</v>
      </c>
      <c r="C1754" s="33" t="s">
        <v>640</v>
      </c>
      <c r="D1754" s="33" t="s">
        <v>14</v>
      </c>
      <c r="E1754" s="34">
        <v>40.0</v>
      </c>
      <c r="F1754" s="33" t="s">
        <v>1493</v>
      </c>
    </row>
    <row r="1755" ht="15.75" customHeight="1">
      <c r="A1755" s="33" t="s">
        <v>83</v>
      </c>
      <c r="B1755" s="33" t="s">
        <v>235</v>
      </c>
      <c r="C1755" s="33" t="s">
        <v>842</v>
      </c>
      <c r="D1755" s="33" t="s">
        <v>30</v>
      </c>
      <c r="E1755" s="34">
        <v>481.65</v>
      </c>
      <c r="F1755" s="33" t="s">
        <v>843</v>
      </c>
    </row>
    <row r="1756" ht="15.75" customHeight="1">
      <c r="A1756" s="33" t="s">
        <v>83</v>
      </c>
      <c r="B1756" s="33" t="s">
        <v>304</v>
      </c>
      <c r="C1756" s="33" t="s">
        <v>1237</v>
      </c>
      <c r="D1756" s="33" t="s">
        <v>14</v>
      </c>
      <c r="E1756" s="34">
        <v>1125.3</v>
      </c>
      <c r="F1756" s="33" t="s">
        <v>2111</v>
      </c>
    </row>
    <row r="1757" ht="15.75" customHeight="1">
      <c r="A1757" s="33" t="s">
        <v>83</v>
      </c>
      <c r="B1757" s="33" t="s">
        <v>144</v>
      </c>
      <c r="C1757" s="33" t="s">
        <v>144</v>
      </c>
      <c r="D1757" s="33" t="s">
        <v>18</v>
      </c>
      <c r="E1757" s="34">
        <v>2795.28</v>
      </c>
      <c r="F1757" s="33" t="s">
        <v>2112</v>
      </c>
    </row>
    <row r="1758" ht="15.75" customHeight="1">
      <c r="A1758" s="33" t="s">
        <v>83</v>
      </c>
      <c r="B1758" s="33" t="s">
        <v>190</v>
      </c>
      <c r="C1758" s="33" t="s">
        <v>190</v>
      </c>
      <c r="D1758" s="33" t="s">
        <v>40</v>
      </c>
      <c r="E1758" s="34">
        <v>1707.24</v>
      </c>
      <c r="F1758" s="33" t="s">
        <v>2113</v>
      </c>
    </row>
    <row r="1759" ht="15.75" customHeight="1">
      <c r="A1759" s="33" t="s">
        <v>83</v>
      </c>
      <c r="B1759" s="33" t="s">
        <v>133</v>
      </c>
      <c r="C1759" s="33" t="s">
        <v>1182</v>
      </c>
      <c r="D1759" s="33" t="s">
        <v>20</v>
      </c>
      <c r="E1759" s="34">
        <v>26425.23</v>
      </c>
      <c r="F1759" s="33" t="s">
        <v>2114</v>
      </c>
    </row>
    <row r="1760" ht="15.75" customHeight="1">
      <c r="A1760" s="33" t="s">
        <v>83</v>
      </c>
      <c r="B1760" s="33" t="s">
        <v>161</v>
      </c>
      <c r="C1760" s="33" t="s">
        <v>596</v>
      </c>
      <c r="D1760" s="33" t="s">
        <v>38</v>
      </c>
      <c r="E1760" s="34">
        <v>342.56</v>
      </c>
      <c r="F1760" s="33" t="s">
        <v>2115</v>
      </c>
    </row>
    <row r="1761" ht="15.75" customHeight="1">
      <c r="A1761" s="33" t="s">
        <v>83</v>
      </c>
      <c r="B1761" s="33" t="s">
        <v>179</v>
      </c>
      <c r="C1761" s="33" t="s">
        <v>716</v>
      </c>
      <c r="D1761" s="33" t="s">
        <v>14</v>
      </c>
      <c r="E1761" s="34">
        <v>79.18</v>
      </c>
      <c r="F1761" s="33" t="s">
        <v>1795</v>
      </c>
    </row>
    <row r="1762" ht="15.75" customHeight="1">
      <c r="A1762" s="33" t="s">
        <v>83</v>
      </c>
      <c r="B1762" s="33" t="s">
        <v>338</v>
      </c>
      <c r="C1762" s="33" t="s">
        <v>338</v>
      </c>
      <c r="D1762" s="33" t="s">
        <v>16</v>
      </c>
      <c r="E1762" s="34">
        <v>30.0</v>
      </c>
      <c r="F1762" s="33" t="s">
        <v>720</v>
      </c>
    </row>
    <row r="1763" ht="15.75" customHeight="1">
      <c r="A1763" s="33" t="s">
        <v>83</v>
      </c>
      <c r="B1763" s="33" t="s">
        <v>292</v>
      </c>
      <c r="C1763" s="33" t="s">
        <v>292</v>
      </c>
      <c r="D1763" s="33" t="s">
        <v>18</v>
      </c>
      <c r="E1763" s="34">
        <v>231.02</v>
      </c>
      <c r="F1763" s="33" t="s">
        <v>599</v>
      </c>
    </row>
    <row r="1764" ht="15.75" customHeight="1">
      <c r="A1764" s="33" t="s">
        <v>83</v>
      </c>
      <c r="B1764" s="33" t="s">
        <v>382</v>
      </c>
      <c r="C1764" s="33" t="s">
        <v>382</v>
      </c>
      <c r="D1764" s="33" t="s">
        <v>36</v>
      </c>
      <c r="E1764" s="34">
        <v>56.03</v>
      </c>
      <c r="F1764" s="33" t="s">
        <v>2116</v>
      </c>
    </row>
    <row r="1765" ht="15.75" customHeight="1">
      <c r="A1765" s="33" t="s">
        <v>83</v>
      </c>
      <c r="B1765" s="33" t="s">
        <v>243</v>
      </c>
      <c r="C1765" s="33" t="s">
        <v>243</v>
      </c>
      <c r="D1765" s="33" t="s">
        <v>14</v>
      </c>
      <c r="E1765" s="34">
        <v>425.76</v>
      </c>
      <c r="F1765" s="33" t="s">
        <v>604</v>
      </c>
    </row>
    <row r="1766" ht="15.75" customHeight="1">
      <c r="A1766" s="33" t="s">
        <v>83</v>
      </c>
      <c r="B1766" s="33" t="s">
        <v>464</v>
      </c>
      <c r="C1766" s="33" t="s">
        <v>464</v>
      </c>
      <c r="D1766" s="33" t="s">
        <v>14</v>
      </c>
      <c r="E1766" s="34">
        <v>50.0</v>
      </c>
      <c r="F1766" s="33" t="s">
        <v>2117</v>
      </c>
    </row>
    <row r="1767" ht="15.75" customHeight="1">
      <c r="A1767" s="33" t="s">
        <v>83</v>
      </c>
      <c r="B1767" s="33" t="s">
        <v>432</v>
      </c>
      <c r="C1767" s="33" t="s">
        <v>432</v>
      </c>
      <c r="D1767" s="33" t="s">
        <v>14</v>
      </c>
      <c r="E1767" s="34">
        <v>150.0</v>
      </c>
      <c r="F1767" s="33" t="s">
        <v>2118</v>
      </c>
    </row>
    <row r="1768" ht="15.75" customHeight="1">
      <c r="A1768" s="33" t="s">
        <v>83</v>
      </c>
      <c r="B1768" s="33" t="s">
        <v>509</v>
      </c>
      <c r="C1768" s="33" t="s">
        <v>509</v>
      </c>
      <c r="D1768" s="33" t="s">
        <v>14</v>
      </c>
      <c r="E1768" s="34">
        <v>35.0</v>
      </c>
      <c r="F1768" s="33" t="s">
        <v>2119</v>
      </c>
    </row>
    <row r="1769" ht="15.75" customHeight="1">
      <c r="A1769" s="33" t="s">
        <v>83</v>
      </c>
      <c r="B1769" s="33" t="s">
        <v>214</v>
      </c>
      <c r="C1769" s="33" t="s">
        <v>214</v>
      </c>
      <c r="D1769" s="33" t="s">
        <v>14</v>
      </c>
      <c r="E1769" s="34">
        <v>426.0</v>
      </c>
      <c r="F1769" s="33" t="s">
        <v>624</v>
      </c>
    </row>
    <row r="1770" ht="15.75" customHeight="1">
      <c r="A1770" s="33" t="s">
        <v>83</v>
      </c>
      <c r="B1770" s="33" t="s">
        <v>1819</v>
      </c>
      <c r="C1770" s="33" t="s">
        <v>425</v>
      </c>
      <c r="D1770" s="33" t="s">
        <v>22</v>
      </c>
      <c r="E1770" s="34">
        <v>178.78</v>
      </c>
      <c r="F1770" s="33" t="s">
        <v>2120</v>
      </c>
    </row>
    <row r="1771" ht="15.75" customHeight="1">
      <c r="A1771" s="33" t="s">
        <v>83</v>
      </c>
      <c r="B1771" s="33" t="s">
        <v>100</v>
      </c>
      <c r="C1771" s="33" t="s">
        <v>626</v>
      </c>
      <c r="D1771" s="33" t="s">
        <v>22</v>
      </c>
      <c r="E1771" s="34">
        <v>6250.0</v>
      </c>
      <c r="F1771" s="33" t="s">
        <v>2121</v>
      </c>
    </row>
    <row r="1772" ht="15.75" customHeight="1">
      <c r="A1772" s="33" t="s">
        <v>83</v>
      </c>
      <c r="B1772" s="33" t="s">
        <v>197</v>
      </c>
      <c r="C1772" s="33" t="s">
        <v>197</v>
      </c>
      <c r="D1772" s="33" t="s">
        <v>14</v>
      </c>
      <c r="E1772" s="34">
        <v>916.67</v>
      </c>
      <c r="F1772" s="33" t="s">
        <v>2122</v>
      </c>
    </row>
    <row r="1773" ht="15.75" customHeight="1">
      <c r="A1773" s="33" t="s">
        <v>83</v>
      </c>
      <c r="B1773" s="33" t="s">
        <v>344</v>
      </c>
      <c r="C1773" s="33" t="s">
        <v>344</v>
      </c>
      <c r="D1773" s="33" t="s">
        <v>14</v>
      </c>
      <c r="E1773" s="34">
        <v>204.37</v>
      </c>
      <c r="F1773" s="33" t="s">
        <v>2123</v>
      </c>
    </row>
    <row r="1774" ht="15.75" customHeight="1">
      <c r="A1774" s="33" t="s">
        <v>83</v>
      </c>
      <c r="B1774" s="33" t="s">
        <v>122</v>
      </c>
      <c r="C1774" s="33" t="s">
        <v>529</v>
      </c>
      <c r="D1774" s="33" t="s">
        <v>20</v>
      </c>
      <c r="E1774" s="34">
        <v>247.5</v>
      </c>
      <c r="F1774" s="33" t="s">
        <v>2124</v>
      </c>
    </row>
    <row r="1775" ht="15.75" customHeight="1">
      <c r="A1775" s="33" t="s">
        <v>83</v>
      </c>
      <c r="B1775" s="33" t="s">
        <v>510</v>
      </c>
      <c r="C1775" s="33" t="s">
        <v>510</v>
      </c>
      <c r="D1775" s="33" t="s">
        <v>14</v>
      </c>
      <c r="E1775" s="34">
        <v>35.0</v>
      </c>
      <c r="F1775" s="33" t="s">
        <v>2125</v>
      </c>
    </row>
    <row r="1776" ht="15.75" customHeight="1">
      <c r="A1776" s="33" t="s">
        <v>83</v>
      </c>
      <c r="B1776" s="33" t="s">
        <v>94</v>
      </c>
      <c r="C1776" s="33" t="s">
        <v>619</v>
      </c>
      <c r="D1776" s="33" t="s">
        <v>22</v>
      </c>
      <c r="E1776" s="34">
        <v>16591.75</v>
      </c>
      <c r="F1776" s="33" t="s">
        <v>2126</v>
      </c>
    </row>
    <row r="1777" ht="15.75" customHeight="1">
      <c r="A1777" s="33" t="s">
        <v>83</v>
      </c>
      <c r="B1777" s="33" t="s">
        <v>511</v>
      </c>
      <c r="C1777" s="33" t="s">
        <v>511</v>
      </c>
      <c r="D1777" s="33" t="s">
        <v>14</v>
      </c>
      <c r="E1777" s="34">
        <v>35.0</v>
      </c>
      <c r="F1777" s="33" t="s">
        <v>950</v>
      </c>
    </row>
    <row r="1778" ht="15.75" customHeight="1">
      <c r="A1778" s="33" t="s">
        <v>83</v>
      </c>
      <c r="B1778" s="33" t="s">
        <v>90</v>
      </c>
      <c r="C1778" s="33" t="s">
        <v>536</v>
      </c>
      <c r="D1778" s="33" t="s">
        <v>18</v>
      </c>
      <c r="E1778" s="34">
        <v>765.0</v>
      </c>
      <c r="F1778" s="33" t="s">
        <v>2127</v>
      </c>
    </row>
    <row r="1779" ht="15.75" customHeight="1">
      <c r="A1779" s="33" t="s">
        <v>83</v>
      </c>
      <c r="B1779" s="33" t="s">
        <v>95</v>
      </c>
      <c r="C1779" s="33" t="s">
        <v>538</v>
      </c>
      <c r="D1779" s="33" t="s">
        <v>14</v>
      </c>
      <c r="E1779" s="34">
        <v>13383.48</v>
      </c>
      <c r="F1779" s="33" t="s">
        <v>539</v>
      </c>
    </row>
    <row r="1780" ht="15.75" customHeight="1">
      <c r="A1780" s="33" t="s">
        <v>83</v>
      </c>
      <c r="B1780" s="33" t="s">
        <v>127</v>
      </c>
      <c r="C1780" s="33" t="s">
        <v>127</v>
      </c>
      <c r="D1780" s="33" t="s">
        <v>36</v>
      </c>
      <c r="E1780" s="34">
        <v>233.7</v>
      </c>
      <c r="F1780" s="33" t="s">
        <v>2128</v>
      </c>
    </row>
    <row r="1781" ht="15.75" customHeight="1">
      <c r="A1781" s="33" t="s">
        <v>83</v>
      </c>
      <c r="B1781" s="33" t="s">
        <v>142</v>
      </c>
      <c r="C1781" s="33" t="s">
        <v>142</v>
      </c>
      <c r="D1781" s="33" t="s">
        <v>36</v>
      </c>
      <c r="E1781" s="34">
        <v>1835.13</v>
      </c>
      <c r="F1781" s="33" t="s">
        <v>543</v>
      </c>
    </row>
    <row r="1782" ht="15.75" customHeight="1">
      <c r="A1782" s="33" t="s">
        <v>83</v>
      </c>
      <c r="B1782" s="33" t="s">
        <v>329</v>
      </c>
      <c r="C1782" s="33" t="s">
        <v>329</v>
      </c>
      <c r="D1782" s="33" t="s">
        <v>14</v>
      </c>
      <c r="E1782" s="34">
        <v>119.0</v>
      </c>
      <c r="F1782" s="33" t="s">
        <v>648</v>
      </c>
    </row>
    <row r="1783" ht="15.75" customHeight="1">
      <c r="A1783" s="33" t="s">
        <v>83</v>
      </c>
      <c r="B1783" s="33" t="s">
        <v>100</v>
      </c>
      <c r="C1783" s="33" t="s">
        <v>626</v>
      </c>
      <c r="D1783" s="33" t="s">
        <v>22</v>
      </c>
      <c r="E1783" s="34">
        <v>8236.0</v>
      </c>
      <c r="F1783" s="33" t="s">
        <v>2129</v>
      </c>
    </row>
    <row r="1784" ht="15.75" customHeight="1">
      <c r="A1784" s="33" t="s">
        <v>83</v>
      </c>
      <c r="B1784" s="33" t="s">
        <v>351</v>
      </c>
      <c r="C1784" s="33" t="s">
        <v>351</v>
      </c>
      <c r="D1784" s="33" t="s">
        <v>38</v>
      </c>
      <c r="E1784" s="34">
        <v>130.83</v>
      </c>
      <c r="F1784" s="33" t="s">
        <v>2130</v>
      </c>
    </row>
    <row r="1785" ht="15.75" customHeight="1">
      <c r="A1785" s="33" t="s">
        <v>83</v>
      </c>
      <c r="B1785" s="33" t="s">
        <v>1053</v>
      </c>
      <c r="C1785" s="33" t="s">
        <v>117</v>
      </c>
      <c r="D1785" s="33" t="s">
        <v>14</v>
      </c>
      <c r="E1785" s="34">
        <v>3569.52</v>
      </c>
      <c r="F1785" s="33" t="s">
        <v>2131</v>
      </c>
    </row>
    <row r="1786" ht="15.75" customHeight="1">
      <c r="A1786" s="33" t="s">
        <v>83</v>
      </c>
      <c r="B1786" s="33" t="s">
        <v>343</v>
      </c>
      <c r="C1786" s="33" t="s">
        <v>343</v>
      </c>
      <c r="D1786" s="33" t="s">
        <v>14</v>
      </c>
      <c r="E1786" s="34">
        <v>80.1</v>
      </c>
      <c r="F1786" s="33" t="s">
        <v>722</v>
      </c>
    </row>
    <row r="1787" ht="15.75" customHeight="1">
      <c r="A1787" s="33" t="s">
        <v>83</v>
      </c>
      <c r="B1787" s="33" t="s">
        <v>218</v>
      </c>
      <c r="C1787" s="33" t="s">
        <v>553</v>
      </c>
      <c r="D1787" s="33" t="s">
        <v>40</v>
      </c>
      <c r="E1787" s="34">
        <v>255.0</v>
      </c>
      <c r="F1787" s="33" t="s">
        <v>2132</v>
      </c>
    </row>
    <row r="1788" ht="15.75" customHeight="1">
      <c r="A1788" s="33" t="s">
        <v>83</v>
      </c>
      <c r="B1788" s="33" t="s">
        <v>98</v>
      </c>
      <c r="C1788" s="33" t="s">
        <v>1483</v>
      </c>
      <c r="D1788" s="33" t="s">
        <v>26</v>
      </c>
      <c r="E1788" s="34">
        <v>4929.48</v>
      </c>
      <c r="F1788" s="33" t="s">
        <v>2133</v>
      </c>
    </row>
    <row r="1789" ht="15.75" customHeight="1">
      <c r="A1789" s="33" t="s">
        <v>83</v>
      </c>
      <c r="B1789" s="33" t="s">
        <v>35</v>
      </c>
      <c r="C1789" s="33" t="s">
        <v>35</v>
      </c>
      <c r="D1789" s="33" t="s">
        <v>22</v>
      </c>
      <c r="E1789" s="34">
        <v>11482.0</v>
      </c>
      <c r="F1789" s="33" t="s">
        <v>2134</v>
      </c>
    </row>
    <row r="1790" ht="15.75" customHeight="1">
      <c r="A1790" s="33" t="s">
        <v>83</v>
      </c>
      <c r="B1790" s="33" t="s">
        <v>174</v>
      </c>
      <c r="C1790" s="33" t="s">
        <v>1713</v>
      </c>
      <c r="D1790" s="33" t="s">
        <v>22</v>
      </c>
      <c r="E1790" s="34">
        <v>1265.0</v>
      </c>
      <c r="F1790" s="33" t="s">
        <v>2135</v>
      </c>
    </row>
    <row r="1791" ht="15.75" customHeight="1">
      <c r="A1791" s="33" t="s">
        <v>83</v>
      </c>
      <c r="B1791" s="33" t="s">
        <v>96</v>
      </c>
      <c r="C1791" s="33" t="s">
        <v>925</v>
      </c>
      <c r="D1791" s="33" t="s">
        <v>20</v>
      </c>
      <c r="E1791" s="34">
        <v>5039.5</v>
      </c>
      <c r="F1791" s="33" t="s">
        <v>2136</v>
      </c>
    </row>
    <row r="1792" ht="15.75" customHeight="1">
      <c r="A1792" s="33" t="s">
        <v>83</v>
      </c>
      <c r="B1792" s="33" t="s">
        <v>145</v>
      </c>
      <c r="C1792" s="33" t="s">
        <v>564</v>
      </c>
      <c r="D1792" s="33" t="s">
        <v>14</v>
      </c>
      <c r="E1792" s="34">
        <v>620.0</v>
      </c>
      <c r="F1792" s="33" t="s">
        <v>2137</v>
      </c>
    </row>
    <row r="1793" ht="15.75" customHeight="1">
      <c r="A1793" s="33" t="s">
        <v>83</v>
      </c>
      <c r="B1793" s="33" t="s">
        <v>136</v>
      </c>
      <c r="C1793" s="33" t="s">
        <v>136</v>
      </c>
      <c r="D1793" s="33" t="s">
        <v>14</v>
      </c>
      <c r="E1793" s="34">
        <v>2306.95</v>
      </c>
      <c r="F1793" s="33" t="s">
        <v>2138</v>
      </c>
    </row>
    <row r="1794" ht="15.75" customHeight="1">
      <c r="A1794" s="33" t="s">
        <v>83</v>
      </c>
      <c r="B1794" s="33" t="s">
        <v>114</v>
      </c>
      <c r="C1794" s="33" t="s">
        <v>1276</v>
      </c>
      <c r="D1794" s="33" t="s">
        <v>14</v>
      </c>
      <c r="E1794" s="34">
        <v>1384.0</v>
      </c>
      <c r="F1794" s="33" t="s">
        <v>2139</v>
      </c>
    </row>
    <row r="1795" ht="15.75" customHeight="1">
      <c r="A1795" s="33" t="s">
        <v>83</v>
      </c>
      <c r="B1795" s="33" t="s">
        <v>476</v>
      </c>
      <c r="C1795" s="33" t="s">
        <v>476</v>
      </c>
      <c r="D1795" s="33" t="s">
        <v>14</v>
      </c>
      <c r="E1795" s="34">
        <v>100.0</v>
      </c>
      <c r="F1795" s="33" t="s">
        <v>2140</v>
      </c>
    </row>
    <row r="1796" ht="15.75" customHeight="1">
      <c r="A1796" s="33" t="s">
        <v>83</v>
      </c>
      <c r="B1796" s="33" t="s">
        <v>512</v>
      </c>
      <c r="C1796" s="33" t="s">
        <v>512</v>
      </c>
      <c r="D1796" s="33" t="s">
        <v>14</v>
      </c>
      <c r="E1796" s="34">
        <v>35.0</v>
      </c>
      <c r="F1796" s="33" t="s">
        <v>2125</v>
      </c>
    </row>
    <row r="1797" ht="15.75" customHeight="1">
      <c r="A1797" s="33" t="s">
        <v>83</v>
      </c>
      <c r="B1797" s="33" t="s">
        <v>224</v>
      </c>
      <c r="C1797" s="33" t="s">
        <v>224</v>
      </c>
      <c r="D1797" s="33" t="s">
        <v>38</v>
      </c>
      <c r="E1797" s="34">
        <v>1449.52</v>
      </c>
      <c r="F1797" s="33" t="s">
        <v>2141</v>
      </c>
    </row>
    <row r="1798" ht="15.75" customHeight="1">
      <c r="A1798" s="33" t="s">
        <v>83</v>
      </c>
      <c r="B1798" s="33" t="s">
        <v>314</v>
      </c>
      <c r="C1798" s="33" t="s">
        <v>314</v>
      </c>
      <c r="D1798" s="33" t="s">
        <v>14</v>
      </c>
      <c r="E1798" s="34">
        <v>150.0</v>
      </c>
      <c r="F1798" s="33" t="s">
        <v>2142</v>
      </c>
    </row>
    <row r="1799" ht="15.75" customHeight="1">
      <c r="A1799" s="33" t="s">
        <v>83</v>
      </c>
      <c r="B1799" s="33" t="s">
        <v>455</v>
      </c>
      <c r="C1799" s="33" t="s">
        <v>698</v>
      </c>
      <c r="D1799" s="33" t="s">
        <v>14</v>
      </c>
      <c r="E1799" s="34">
        <v>126.52</v>
      </c>
      <c r="F1799" s="33" t="s">
        <v>2143</v>
      </c>
    </row>
    <row r="1800" ht="15.75" customHeight="1">
      <c r="A1800" s="33" t="s">
        <v>83</v>
      </c>
      <c r="B1800" s="33" t="s">
        <v>186</v>
      </c>
      <c r="C1800" s="33" t="s">
        <v>186</v>
      </c>
      <c r="D1800" s="33" t="s">
        <v>18</v>
      </c>
      <c r="E1800" s="34">
        <v>663.6</v>
      </c>
      <c r="F1800" s="33" t="s">
        <v>2144</v>
      </c>
    </row>
    <row r="1801" ht="15.75" customHeight="1">
      <c r="A1801" s="33" t="s">
        <v>83</v>
      </c>
      <c r="B1801" s="33" t="s">
        <v>465</v>
      </c>
      <c r="C1801" s="33" t="s">
        <v>465</v>
      </c>
      <c r="D1801" s="33" t="s">
        <v>14</v>
      </c>
      <c r="E1801" s="34">
        <v>20.0</v>
      </c>
      <c r="F1801" s="33" t="s">
        <v>2145</v>
      </c>
    </row>
    <row r="1802" ht="15.75" customHeight="1">
      <c r="A1802" s="33" t="s">
        <v>83</v>
      </c>
      <c r="B1802" s="33" t="s">
        <v>143</v>
      </c>
      <c r="C1802" s="33" t="s">
        <v>1124</v>
      </c>
      <c r="D1802" s="33" t="s">
        <v>14</v>
      </c>
      <c r="E1802" s="34">
        <v>1500.0</v>
      </c>
      <c r="F1802" s="33" t="s">
        <v>2146</v>
      </c>
    </row>
    <row r="1803" ht="15.75" customHeight="1">
      <c r="A1803" s="33" t="s">
        <v>83</v>
      </c>
      <c r="B1803" s="33" t="s">
        <v>410</v>
      </c>
      <c r="C1803" s="33" t="s">
        <v>577</v>
      </c>
      <c r="D1803" s="33" t="s">
        <v>14</v>
      </c>
      <c r="E1803" s="34">
        <v>51.84</v>
      </c>
      <c r="F1803" s="33" t="s">
        <v>578</v>
      </c>
    </row>
    <row r="1804" ht="15.75" customHeight="1">
      <c r="A1804" s="33" t="s">
        <v>83</v>
      </c>
      <c r="B1804" s="33" t="s">
        <v>144</v>
      </c>
      <c r="C1804" s="33" t="s">
        <v>144</v>
      </c>
      <c r="D1804" s="33" t="s">
        <v>18</v>
      </c>
      <c r="E1804" s="34">
        <v>535.2</v>
      </c>
      <c r="F1804" s="33" t="s">
        <v>2147</v>
      </c>
    </row>
    <row r="1805" ht="15.75" customHeight="1">
      <c r="A1805" s="33" t="s">
        <v>83</v>
      </c>
      <c r="B1805" s="33" t="s">
        <v>200</v>
      </c>
      <c r="C1805" s="33" t="s">
        <v>1141</v>
      </c>
      <c r="D1805" s="33" t="s">
        <v>14</v>
      </c>
      <c r="E1805" s="34">
        <v>707.79</v>
      </c>
      <c r="F1805" s="33" t="s">
        <v>2148</v>
      </c>
    </row>
    <row r="1806" ht="15.75" customHeight="1">
      <c r="A1806" s="33" t="s">
        <v>83</v>
      </c>
      <c r="B1806" s="33" t="s">
        <v>418</v>
      </c>
      <c r="C1806" s="33" t="s">
        <v>2149</v>
      </c>
      <c r="D1806" s="33" t="s">
        <v>14</v>
      </c>
      <c r="E1806" s="34">
        <v>405.26</v>
      </c>
      <c r="F1806" s="33" t="s">
        <v>2150</v>
      </c>
    </row>
    <row r="1807" ht="15.75" customHeight="1">
      <c r="A1807" s="33" t="s">
        <v>83</v>
      </c>
      <c r="B1807" s="33" t="s">
        <v>345</v>
      </c>
      <c r="C1807" s="33" t="s">
        <v>2026</v>
      </c>
      <c r="D1807" s="33" t="s">
        <v>14</v>
      </c>
      <c r="E1807" s="34">
        <v>407.5</v>
      </c>
      <c r="F1807" s="33" t="s">
        <v>2151</v>
      </c>
    </row>
    <row r="1808" ht="15.75" customHeight="1">
      <c r="A1808" s="33" t="s">
        <v>83</v>
      </c>
      <c r="B1808" s="33" t="s">
        <v>594</v>
      </c>
      <c r="C1808" s="33" t="s">
        <v>594</v>
      </c>
      <c r="D1808" s="33" t="s">
        <v>16</v>
      </c>
      <c r="E1808" s="34">
        <v>137.04</v>
      </c>
      <c r="F1808" s="33" t="s">
        <v>595</v>
      </c>
    </row>
    <row r="1809" ht="15.75" customHeight="1">
      <c r="A1809" s="33" t="s">
        <v>83</v>
      </c>
      <c r="B1809" s="33" t="s">
        <v>161</v>
      </c>
      <c r="C1809" s="33" t="s">
        <v>596</v>
      </c>
      <c r="D1809" s="33" t="s">
        <v>38</v>
      </c>
      <c r="E1809" s="34">
        <v>223.8</v>
      </c>
      <c r="F1809" s="33" t="s">
        <v>2152</v>
      </c>
    </row>
    <row r="1810" ht="15.75" customHeight="1">
      <c r="A1810" s="33" t="s">
        <v>83</v>
      </c>
      <c r="B1810" s="33" t="s">
        <v>163</v>
      </c>
      <c r="C1810" s="33" t="s">
        <v>163</v>
      </c>
      <c r="D1810" s="33" t="s">
        <v>14</v>
      </c>
      <c r="E1810" s="34">
        <v>1343.12</v>
      </c>
      <c r="F1810" s="33" t="s">
        <v>2153</v>
      </c>
    </row>
    <row r="1811" ht="15.75" customHeight="1">
      <c r="A1811" s="33" t="s">
        <v>83</v>
      </c>
      <c r="B1811" s="33" t="s">
        <v>328</v>
      </c>
      <c r="C1811" s="33" t="s">
        <v>328</v>
      </c>
      <c r="D1811" s="33" t="s">
        <v>36</v>
      </c>
      <c r="E1811" s="34">
        <v>108.2</v>
      </c>
      <c r="F1811" s="33" t="s">
        <v>600</v>
      </c>
    </row>
    <row r="1812" ht="15.75" customHeight="1">
      <c r="A1812" s="33" t="s">
        <v>83</v>
      </c>
      <c r="B1812" s="33" t="s">
        <v>91</v>
      </c>
      <c r="C1812" s="33" t="s">
        <v>91</v>
      </c>
      <c r="D1812" s="33" t="s">
        <v>32</v>
      </c>
      <c r="E1812" s="34">
        <v>13466.0</v>
      </c>
      <c r="F1812" s="33" t="s">
        <v>2154</v>
      </c>
    </row>
    <row r="1813" ht="15.75" customHeight="1"/>
    <row r="1814" ht="15.75" customHeight="1">
      <c r="D1814" s="21" t="s">
        <v>44</v>
      </c>
      <c r="E1814" s="32">
        <f>SUM(E2:E1812)</f>
        <v>11638443.83</v>
      </c>
    </row>
  </sheetData>
  <autoFilter ref="$A$1:$F$1812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4.0"/>
    <col customWidth="1" min="3" max="3" width="12.0"/>
    <col customWidth="1" min="4" max="4" width="15.0"/>
    <col customWidth="1" min="5" max="26" width="8.71"/>
  </cols>
  <sheetData>
    <row r="1">
      <c r="A1" s="10" t="s">
        <v>56</v>
      </c>
      <c r="B1" s="10" t="s">
        <v>2155</v>
      </c>
      <c r="C1" s="10" t="s">
        <v>2156</v>
      </c>
      <c r="D1" s="10" t="s">
        <v>519</v>
      </c>
    </row>
    <row r="2">
      <c r="A2" s="14" t="s">
        <v>61</v>
      </c>
      <c r="B2" s="14" t="s">
        <v>2157</v>
      </c>
      <c r="C2" s="14" t="s">
        <v>2158</v>
      </c>
      <c r="D2" s="30">
        <v>114.69</v>
      </c>
    </row>
    <row r="3">
      <c r="A3" s="14" t="s">
        <v>61</v>
      </c>
      <c r="B3" s="14" t="s">
        <v>2159</v>
      </c>
      <c r="C3" s="14" t="s">
        <v>2160</v>
      </c>
      <c r="D3" s="30">
        <v>180.26</v>
      </c>
    </row>
    <row r="4">
      <c r="A4" s="14" t="s">
        <v>61</v>
      </c>
      <c r="B4" s="14" t="s">
        <v>2161</v>
      </c>
      <c r="C4" s="14" t="s">
        <v>2162</v>
      </c>
      <c r="D4" s="30">
        <v>13.19</v>
      </c>
    </row>
    <row r="5">
      <c r="A5" s="14" t="s">
        <v>61</v>
      </c>
      <c r="B5" s="14" t="s">
        <v>2163</v>
      </c>
      <c r="C5" s="14" t="s">
        <v>2164</v>
      </c>
      <c r="D5" s="30">
        <v>221.18</v>
      </c>
    </row>
    <row r="6">
      <c r="A6" s="14" t="s">
        <v>61</v>
      </c>
      <c r="B6" s="14" t="s">
        <v>2165</v>
      </c>
      <c r="C6" s="14" t="s">
        <v>2166</v>
      </c>
      <c r="D6" s="30">
        <v>41.1</v>
      </c>
    </row>
    <row r="7">
      <c r="A7" s="14" t="s">
        <v>61</v>
      </c>
      <c r="B7" s="14" t="s">
        <v>2167</v>
      </c>
      <c r="C7" s="14" t="s">
        <v>2168</v>
      </c>
      <c r="D7" s="30">
        <v>168.78</v>
      </c>
    </row>
    <row r="8">
      <c r="A8" s="14" t="s">
        <v>61</v>
      </c>
      <c r="B8" s="14" t="s">
        <v>2169</v>
      </c>
      <c r="C8" s="14" t="s">
        <v>2170</v>
      </c>
      <c r="D8" s="30">
        <v>63.02</v>
      </c>
    </row>
    <row r="9">
      <c r="A9" s="14" t="s">
        <v>61</v>
      </c>
      <c r="B9" s="14" t="s">
        <v>2169</v>
      </c>
      <c r="C9" s="14" t="s">
        <v>2171</v>
      </c>
      <c r="D9" s="30">
        <v>697.59</v>
      </c>
    </row>
    <row r="10">
      <c r="A10" s="14" t="s">
        <v>61</v>
      </c>
      <c r="B10" s="14" t="s">
        <v>2172</v>
      </c>
      <c r="C10" s="14" t="s">
        <v>2173</v>
      </c>
      <c r="D10" s="30">
        <v>108.54</v>
      </c>
    </row>
    <row r="11">
      <c r="A11" s="14" t="s">
        <v>61</v>
      </c>
      <c r="B11" s="14" t="s">
        <v>2174</v>
      </c>
      <c r="C11" s="14" t="s">
        <v>2175</v>
      </c>
      <c r="D11" s="30">
        <v>2.62</v>
      </c>
    </row>
    <row r="12">
      <c r="A12" s="14" t="s">
        <v>65</v>
      </c>
      <c r="B12" s="14" t="s">
        <v>2176</v>
      </c>
      <c r="C12" s="14" t="s">
        <v>2177</v>
      </c>
      <c r="D12" s="30">
        <v>136.54</v>
      </c>
    </row>
    <row r="13">
      <c r="A13" s="14" t="s">
        <v>66</v>
      </c>
      <c r="B13" s="14" t="s">
        <v>2178</v>
      </c>
      <c r="C13" s="14" t="s">
        <v>2179</v>
      </c>
      <c r="D13" s="30">
        <v>113.99</v>
      </c>
    </row>
    <row r="14">
      <c r="A14" s="14" t="s">
        <v>66</v>
      </c>
      <c r="B14" s="14" t="s">
        <v>2169</v>
      </c>
      <c r="C14" s="14" t="s">
        <v>2180</v>
      </c>
      <c r="D14" s="30">
        <v>1628.55</v>
      </c>
    </row>
    <row r="15">
      <c r="A15" s="14" t="s">
        <v>66</v>
      </c>
      <c r="B15" s="14" t="s">
        <v>2181</v>
      </c>
      <c r="C15" s="14" t="s">
        <v>2182</v>
      </c>
      <c r="D15" s="30">
        <v>100.97</v>
      </c>
    </row>
    <row r="16">
      <c r="A16" s="14" t="s">
        <v>66</v>
      </c>
      <c r="B16" s="14" t="s">
        <v>2183</v>
      </c>
      <c r="C16" s="14" t="s">
        <v>2184</v>
      </c>
      <c r="D16" s="30">
        <v>3.72</v>
      </c>
    </row>
    <row r="17">
      <c r="A17" s="14" t="s">
        <v>66</v>
      </c>
      <c r="B17" s="14" t="s">
        <v>2185</v>
      </c>
      <c r="C17" s="14" t="s">
        <v>2186</v>
      </c>
      <c r="D17" s="30">
        <v>118.22</v>
      </c>
    </row>
    <row r="18">
      <c r="A18" s="14" t="s">
        <v>66</v>
      </c>
      <c r="B18" s="14" t="s">
        <v>2169</v>
      </c>
      <c r="C18" s="14" t="s">
        <v>2187</v>
      </c>
      <c r="D18" s="30">
        <v>800.51</v>
      </c>
    </row>
    <row r="19">
      <c r="A19" s="14" t="s">
        <v>67</v>
      </c>
      <c r="B19" s="14" t="s">
        <v>2169</v>
      </c>
      <c r="C19" s="14" t="s">
        <v>2188</v>
      </c>
      <c r="D19" s="30">
        <v>8222.94</v>
      </c>
    </row>
    <row r="20">
      <c r="A20" s="14" t="s">
        <v>68</v>
      </c>
      <c r="B20" s="14" t="s">
        <v>2172</v>
      </c>
      <c r="C20" s="14" t="s">
        <v>2189</v>
      </c>
      <c r="D20" s="30">
        <v>108.54</v>
      </c>
    </row>
    <row r="21" ht="15.75" customHeight="1">
      <c r="A21" s="14" t="s">
        <v>69</v>
      </c>
      <c r="B21" s="14" t="s">
        <v>2190</v>
      </c>
      <c r="C21" s="14" t="s">
        <v>2191</v>
      </c>
      <c r="D21" s="30">
        <v>7.81</v>
      </c>
    </row>
    <row r="22" ht="15.75" customHeight="1">
      <c r="A22" s="14" t="s">
        <v>69</v>
      </c>
      <c r="B22" s="14" t="s">
        <v>2192</v>
      </c>
      <c r="C22" s="14" t="s">
        <v>2193</v>
      </c>
      <c r="D22" s="30">
        <v>194.71</v>
      </c>
    </row>
    <row r="23" ht="15.75" customHeight="1">
      <c r="A23" s="14" t="s">
        <v>69</v>
      </c>
      <c r="B23" s="14" t="s">
        <v>2194</v>
      </c>
      <c r="C23" s="14" t="s">
        <v>2195</v>
      </c>
      <c r="D23" s="30">
        <v>46.83</v>
      </c>
    </row>
    <row r="24" ht="15.75" customHeight="1">
      <c r="A24" s="14" t="s">
        <v>69</v>
      </c>
      <c r="B24" s="14" t="s">
        <v>2196</v>
      </c>
      <c r="C24" s="14" t="s">
        <v>2197</v>
      </c>
      <c r="D24" s="30">
        <v>188.37</v>
      </c>
    </row>
    <row r="25" ht="15.75" customHeight="1">
      <c r="A25" s="14" t="s">
        <v>69</v>
      </c>
      <c r="B25" s="14" t="s">
        <v>2198</v>
      </c>
      <c r="C25" s="14" t="s">
        <v>2199</v>
      </c>
      <c r="D25" s="30">
        <v>244.73</v>
      </c>
    </row>
    <row r="26" ht="15.75" customHeight="1">
      <c r="A26" s="14" t="s">
        <v>69</v>
      </c>
      <c r="B26" s="14" t="s">
        <v>2200</v>
      </c>
      <c r="C26" s="14" t="s">
        <v>2201</v>
      </c>
      <c r="D26" s="30">
        <v>5.71</v>
      </c>
    </row>
    <row r="27" ht="15.75" customHeight="1">
      <c r="A27" s="14" t="s">
        <v>69</v>
      </c>
      <c r="B27" s="14" t="s">
        <v>2202</v>
      </c>
      <c r="C27" s="14" t="s">
        <v>2203</v>
      </c>
      <c r="D27" s="30">
        <v>222.11</v>
      </c>
    </row>
    <row r="28" ht="15.75" customHeight="1">
      <c r="A28" s="14" t="s">
        <v>69</v>
      </c>
      <c r="B28" s="14" t="s">
        <v>2204</v>
      </c>
      <c r="C28" s="14" t="s">
        <v>2205</v>
      </c>
      <c r="D28" s="30">
        <v>401.63</v>
      </c>
    </row>
    <row r="29" ht="15.75" customHeight="1">
      <c r="A29" s="14" t="s">
        <v>69</v>
      </c>
      <c r="B29" s="14" t="s">
        <v>2204</v>
      </c>
      <c r="C29" s="14" t="s">
        <v>2206</v>
      </c>
      <c r="D29" s="30">
        <v>218.26</v>
      </c>
    </row>
    <row r="30" ht="15.75" customHeight="1">
      <c r="A30" s="14" t="s">
        <v>69</v>
      </c>
      <c r="B30" s="14" t="s">
        <v>2204</v>
      </c>
      <c r="C30" s="14" t="s">
        <v>2207</v>
      </c>
      <c r="D30" s="30">
        <v>21.62</v>
      </c>
    </row>
    <row r="31" ht="15.75" customHeight="1">
      <c r="A31" s="14" t="s">
        <v>69</v>
      </c>
      <c r="B31" s="14" t="s">
        <v>2208</v>
      </c>
      <c r="C31" s="14" t="s">
        <v>2209</v>
      </c>
      <c r="D31" s="30">
        <v>129.66</v>
      </c>
    </row>
    <row r="32" ht="15.75" customHeight="1">
      <c r="A32" s="14" t="s">
        <v>70</v>
      </c>
      <c r="B32" s="14" t="s">
        <v>2210</v>
      </c>
      <c r="C32" s="14" t="s">
        <v>2211</v>
      </c>
      <c r="D32" s="30">
        <v>59.43</v>
      </c>
    </row>
    <row r="33" ht="15.75" customHeight="1">
      <c r="A33" s="14" t="s">
        <v>70</v>
      </c>
      <c r="B33" s="14" t="s">
        <v>2212</v>
      </c>
      <c r="C33" s="14" t="s">
        <v>2213</v>
      </c>
      <c r="D33" s="30">
        <v>72.52</v>
      </c>
    </row>
    <row r="34" ht="15.75" customHeight="1">
      <c r="A34" s="14" t="s">
        <v>70</v>
      </c>
      <c r="B34" s="14" t="s">
        <v>2214</v>
      </c>
      <c r="C34" s="14" t="s">
        <v>2215</v>
      </c>
      <c r="D34" s="30">
        <v>239.27</v>
      </c>
    </row>
    <row r="35" ht="15.75" customHeight="1">
      <c r="A35" s="14" t="s">
        <v>70</v>
      </c>
      <c r="B35" s="14" t="s">
        <v>2216</v>
      </c>
      <c r="C35" s="14" t="s">
        <v>2217</v>
      </c>
      <c r="D35" s="30">
        <v>498.3</v>
      </c>
    </row>
    <row r="36" ht="15.75" customHeight="1">
      <c r="A36" s="14" t="s">
        <v>70</v>
      </c>
      <c r="B36" s="14" t="s">
        <v>2218</v>
      </c>
      <c r="C36" s="14" t="s">
        <v>2219</v>
      </c>
      <c r="D36" s="30">
        <v>135.35</v>
      </c>
    </row>
    <row r="37" ht="15.75" customHeight="1">
      <c r="A37" s="14" t="s">
        <v>70</v>
      </c>
      <c r="B37" s="14" t="s">
        <v>2220</v>
      </c>
      <c r="C37" s="14" t="s">
        <v>2221</v>
      </c>
      <c r="D37" s="30">
        <v>180.21</v>
      </c>
    </row>
    <row r="38" ht="15.75" customHeight="1">
      <c r="A38" s="14" t="s">
        <v>70</v>
      </c>
      <c r="B38" s="14" t="s">
        <v>2222</v>
      </c>
      <c r="C38" s="14" t="s">
        <v>2223</v>
      </c>
      <c r="D38" s="30">
        <v>177.04</v>
      </c>
    </row>
    <row r="39" ht="15.75" customHeight="1">
      <c r="A39" s="14" t="s">
        <v>70</v>
      </c>
      <c r="B39" s="14" t="s">
        <v>2224</v>
      </c>
      <c r="C39" s="14" t="s">
        <v>2225</v>
      </c>
      <c r="D39" s="30">
        <v>7.63</v>
      </c>
    </row>
    <row r="40" ht="15.75" customHeight="1">
      <c r="A40" s="14" t="s">
        <v>71</v>
      </c>
      <c r="B40" s="14" t="s">
        <v>2226</v>
      </c>
      <c r="C40" s="14" t="s">
        <v>2227</v>
      </c>
      <c r="D40" s="30">
        <v>15.0</v>
      </c>
    </row>
    <row r="41" ht="15.75" customHeight="1">
      <c r="A41" s="14" t="s">
        <v>71</v>
      </c>
      <c r="B41" s="14" t="s">
        <v>2208</v>
      </c>
      <c r="C41" s="14" t="s">
        <v>2228</v>
      </c>
      <c r="D41" s="30">
        <v>129.66</v>
      </c>
    </row>
    <row r="42" ht="15.75" customHeight="1">
      <c r="A42" s="14" t="s">
        <v>72</v>
      </c>
      <c r="B42" s="14" t="s">
        <v>2229</v>
      </c>
      <c r="C42" s="14" t="s">
        <v>2230</v>
      </c>
      <c r="D42" s="30">
        <v>116.29</v>
      </c>
    </row>
    <row r="43" ht="15.75" customHeight="1">
      <c r="A43" s="14" t="s">
        <v>72</v>
      </c>
      <c r="B43" s="14" t="s">
        <v>2231</v>
      </c>
      <c r="C43" s="14" t="s">
        <v>2232</v>
      </c>
      <c r="D43" s="30">
        <v>229.86</v>
      </c>
    </row>
    <row r="44" ht="15.75" customHeight="1">
      <c r="A44" s="14" t="s">
        <v>72</v>
      </c>
      <c r="B44" s="14" t="s">
        <v>2233</v>
      </c>
      <c r="C44" s="14" t="s">
        <v>2234</v>
      </c>
      <c r="D44" s="30">
        <v>109.14</v>
      </c>
    </row>
    <row r="45" ht="15.75" customHeight="1">
      <c r="A45" s="14" t="s">
        <v>74</v>
      </c>
      <c r="B45" s="14" t="s">
        <v>2235</v>
      </c>
      <c r="C45" s="14" t="s">
        <v>2236</v>
      </c>
      <c r="D45" s="30">
        <v>53.88</v>
      </c>
    </row>
    <row r="46" ht="15.75" customHeight="1">
      <c r="A46" s="14" t="s">
        <v>74</v>
      </c>
      <c r="B46" s="14" t="s">
        <v>2237</v>
      </c>
      <c r="C46" s="14" t="s">
        <v>2238</v>
      </c>
      <c r="D46" s="30">
        <v>327.81</v>
      </c>
    </row>
    <row r="47" ht="15.75" customHeight="1">
      <c r="A47" s="14" t="s">
        <v>74</v>
      </c>
      <c r="B47" s="14" t="s">
        <v>2169</v>
      </c>
      <c r="C47" s="14" t="s">
        <v>2239</v>
      </c>
      <c r="D47" s="30">
        <v>1540.67</v>
      </c>
    </row>
    <row r="48" ht="15.75" customHeight="1">
      <c r="A48" s="14" t="s">
        <v>74</v>
      </c>
      <c r="B48" s="14" t="s">
        <v>2240</v>
      </c>
      <c r="C48" s="14" t="s">
        <v>2241</v>
      </c>
      <c r="D48" s="30">
        <v>131.56</v>
      </c>
    </row>
    <row r="49" ht="15.75" customHeight="1">
      <c r="A49" s="14" t="s">
        <v>74</v>
      </c>
      <c r="B49" s="14" t="s">
        <v>2242</v>
      </c>
      <c r="C49" s="14" t="s">
        <v>2243</v>
      </c>
      <c r="D49" s="30">
        <v>200.85</v>
      </c>
    </row>
    <row r="50" ht="15.75" customHeight="1">
      <c r="A50" s="14" t="s">
        <v>74</v>
      </c>
      <c r="B50" s="14" t="s">
        <v>2244</v>
      </c>
      <c r="C50" s="14" t="s">
        <v>2245</v>
      </c>
      <c r="D50" s="30">
        <v>101.29</v>
      </c>
    </row>
    <row r="51" ht="15.75" customHeight="1">
      <c r="A51" s="14" t="s">
        <v>74</v>
      </c>
      <c r="B51" s="14" t="s">
        <v>2246</v>
      </c>
      <c r="C51" s="14" t="s">
        <v>2247</v>
      </c>
      <c r="D51" s="30">
        <v>53.88</v>
      </c>
    </row>
    <row r="52" ht="15.75" customHeight="1">
      <c r="A52" s="14" t="s">
        <v>74</v>
      </c>
      <c r="B52" s="14" t="s">
        <v>2248</v>
      </c>
      <c r="C52" s="14" t="s">
        <v>2249</v>
      </c>
      <c r="D52" s="30">
        <v>119.72</v>
      </c>
    </row>
    <row r="53" ht="15.75" customHeight="1">
      <c r="A53" s="14" t="s">
        <v>75</v>
      </c>
      <c r="B53" s="14" t="s">
        <v>2250</v>
      </c>
      <c r="C53" s="14" t="s">
        <v>2251</v>
      </c>
      <c r="D53" s="30">
        <v>48.96</v>
      </c>
    </row>
    <row r="54" ht="15.75" customHeight="1">
      <c r="A54" s="14" t="s">
        <v>75</v>
      </c>
      <c r="B54" s="14" t="s">
        <v>2252</v>
      </c>
      <c r="C54" s="14" t="s">
        <v>2253</v>
      </c>
      <c r="D54" s="30">
        <v>48.96</v>
      </c>
    </row>
    <row r="55" ht="15.75" customHeight="1">
      <c r="A55" s="14" t="s">
        <v>75</v>
      </c>
      <c r="B55" s="14" t="s">
        <v>2254</v>
      </c>
      <c r="C55" s="14" t="s">
        <v>2255</v>
      </c>
      <c r="D55" s="30">
        <v>115.64</v>
      </c>
    </row>
    <row r="56" ht="15.75" customHeight="1">
      <c r="A56" s="14" t="s">
        <v>76</v>
      </c>
      <c r="B56" s="14" t="s">
        <v>2256</v>
      </c>
      <c r="C56" s="14" t="s">
        <v>2257</v>
      </c>
      <c r="D56" s="30">
        <v>32.03</v>
      </c>
    </row>
    <row r="57" ht="15.75" customHeight="1">
      <c r="A57" s="14" t="s">
        <v>77</v>
      </c>
      <c r="B57" s="14" t="s">
        <v>2258</v>
      </c>
      <c r="C57" s="14" t="s">
        <v>2259</v>
      </c>
      <c r="D57" s="30">
        <v>121.89</v>
      </c>
    </row>
    <row r="58" ht="15.75" customHeight="1">
      <c r="A58" s="14" t="s">
        <v>78</v>
      </c>
      <c r="B58" s="14" t="s">
        <v>2258</v>
      </c>
      <c r="C58" s="14" t="s">
        <v>2259</v>
      </c>
      <c r="D58" s="30">
        <v>121.89</v>
      </c>
    </row>
    <row r="59" ht="15.75" customHeight="1">
      <c r="A59" s="14" t="s">
        <v>78</v>
      </c>
      <c r="B59" s="14" t="s">
        <v>2260</v>
      </c>
      <c r="C59" s="14" t="s">
        <v>2261</v>
      </c>
      <c r="D59" s="30">
        <v>31.05</v>
      </c>
    </row>
    <row r="60" ht="15.75" customHeight="1">
      <c r="A60" s="14" t="s">
        <v>78</v>
      </c>
      <c r="B60" s="14" t="s">
        <v>2262</v>
      </c>
      <c r="C60" s="14" t="s">
        <v>2263</v>
      </c>
      <c r="D60" s="30">
        <v>135.32</v>
      </c>
    </row>
    <row r="61" ht="15.75" customHeight="1">
      <c r="A61" s="14" t="s">
        <v>78</v>
      </c>
      <c r="B61" s="14" t="s">
        <v>2264</v>
      </c>
      <c r="C61" s="14" t="s">
        <v>2265</v>
      </c>
      <c r="D61" s="30">
        <v>176.09</v>
      </c>
    </row>
    <row r="62" ht="15.75" customHeight="1">
      <c r="A62" s="14" t="s">
        <v>78</v>
      </c>
      <c r="B62" s="14" t="s">
        <v>2266</v>
      </c>
      <c r="C62" s="14" t="s">
        <v>2267</v>
      </c>
      <c r="D62" s="30">
        <v>154.27</v>
      </c>
    </row>
    <row r="63" ht="15.75" customHeight="1">
      <c r="A63" s="14" t="s">
        <v>79</v>
      </c>
      <c r="B63" s="14" t="s">
        <v>2248</v>
      </c>
      <c r="C63" s="14" t="s">
        <v>2268</v>
      </c>
      <c r="D63" s="30">
        <v>119.72</v>
      </c>
    </row>
    <row r="64" ht="15.75" customHeight="1">
      <c r="A64" s="14" t="s">
        <v>79</v>
      </c>
      <c r="B64" s="14" t="s">
        <v>2169</v>
      </c>
      <c r="C64" s="14" t="s">
        <v>2269</v>
      </c>
      <c r="D64" s="30">
        <v>6765.89</v>
      </c>
    </row>
    <row r="65" ht="15.75" customHeight="1">
      <c r="A65" s="14" t="s">
        <v>79</v>
      </c>
      <c r="B65" s="14" t="s">
        <v>2270</v>
      </c>
      <c r="C65" s="14" t="s">
        <v>2271</v>
      </c>
      <c r="D65" s="30">
        <v>102.07</v>
      </c>
    </row>
    <row r="66" ht="15.75" customHeight="1">
      <c r="A66" s="14" t="s">
        <v>80</v>
      </c>
      <c r="B66" s="14" t="s">
        <v>2272</v>
      </c>
      <c r="C66" s="14" t="s">
        <v>2273</v>
      </c>
      <c r="D66" s="30">
        <v>155.82</v>
      </c>
    </row>
    <row r="67" ht="15.75" customHeight="1">
      <c r="A67" s="14" t="s">
        <v>80</v>
      </c>
      <c r="B67" s="14" t="s">
        <v>2274</v>
      </c>
      <c r="C67" s="14" t="s">
        <v>2275</v>
      </c>
      <c r="D67" s="30">
        <v>76.12</v>
      </c>
    </row>
    <row r="68" ht="15.75" customHeight="1">
      <c r="A68" s="14" t="s">
        <v>80</v>
      </c>
      <c r="B68" s="14" t="s">
        <v>2276</v>
      </c>
      <c r="C68" s="14" t="s">
        <v>2277</v>
      </c>
      <c r="D68" s="30">
        <v>39.55</v>
      </c>
    </row>
    <row r="69" ht="15.75" customHeight="1">
      <c r="A69" s="14" t="s">
        <v>80</v>
      </c>
      <c r="B69" s="14" t="s">
        <v>2274</v>
      </c>
      <c r="C69" s="14" t="s">
        <v>2278</v>
      </c>
      <c r="D69" s="30">
        <v>76.12</v>
      </c>
    </row>
    <row r="70" ht="15.75" customHeight="1">
      <c r="A70" s="14" t="s">
        <v>80</v>
      </c>
      <c r="B70" s="14" t="s">
        <v>2279</v>
      </c>
      <c r="C70" s="14" t="s">
        <v>2280</v>
      </c>
      <c r="D70" s="30">
        <v>107.83</v>
      </c>
    </row>
    <row r="71" ht="15.75" customHeight="1">
      <c r="A71" s="14" t="s">
        <v>82</v>
      </c>
      <c r="B71" s="14" t="s">
        <v>2281</v>
      </c>
      <c r="C71" s="14" t="s">
        <v>2282</v>
      </c>
      <c r="D71" s="30">
        <v>79.77</v>
      </c>
    </row>
    <row r="72" ht="15.75" customHeight="1">
      <c r="A72" s="14" t="s">
        <v>82</v>
      </c>
      <c r="B72" s="14" t="s">
        <v>2283</v>
      </c>
      <c r="C72" s="14" t="s">
        <v>2284</v>
      </c>
      <c r="D72" s="30">
        <v>123.71</v>
      </c>
    </row>
    <row r="73" ht="15.75" customHeight="1">
      <c r="A73" s="14" t="s">
        <v>82</v>
      </c>
      <c r="B73" s="14" t="s">
        <v>2285</v>
      </c>
      <c r="C73" s="14" t="s">
        <v>2286</v>
      </c>
      <c r="D73" s="30">
        <v>44.1</v>
      </c>
    </row>
    <row r="74" ht="15.75" customHeight="1">
      <c r="A74" s="14" t="s">
        <v>82</v>
      </c>
      <c r="B74" s="14" t="s">
        <v>2169</v>
      </c>
      <c r="C74" s="14" t="s">
        <v>2287</v>
      </c>
      <c r="D74" s="30">
        <v>725.98</v>
      </c>
    </row>
    <row r="75" ht="15.75" customHeight="1">
      <c r="A75" s="14" t="s">
        <v>83</v>
      </c>
      <c r="B75" s="14" t="s">
        <v>2288</v>
      </c>
      <c r="C75" s="14" t="s">
        <v>2289</v>
      </c>
      <c r="D75" s="30">
        <v>34.96</v>
      </c>
    </row>
    <row r="76" ht="15.75" customHeight="1">
      <c r="A76" s="14" t="s">
        <v>83</v>
      </c>
      <c r="B76" s="14" t="s">
        <v>2290</v>
      </c>
      <c r="C76" s="14" t="s">
        <v>2291</v>
      </c>
      <c r="D76" s="30">
        <v>86.98</v>
      </c>
    </row>
    <row r="77" ht="15.75" customHeight="1"/>
    <row r="78" ht="15.75" customHeight="1">
      <c r="C78" s="21" t="s">
        <v>44</v>
      </c>
      <c r="D78" s="32">
        <f>SUM(D2:D76)</f>
        <v>28550.47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76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6.0"/>
    <col customWidth="1" min="4" max="26" width="8.71"/>
  </cols>
  <sheetData>
    <row r="1">
      <c r="A1" s="10" t="s">
        <v>56</v>
      </c>
      <c r="B1" s="10" t="s">
        <v>2292</v>
      </c>
      <c r="C1" s="10" t="s">
        <v>2293</v>
      </c>
    </row>
    <row r="2">
      <c r="A2" s="14" t="s">
        <v>61</v>
      </c>
      <c r="B2" s="14" t="s">
        <v>2294</v>
      </c>
      <c r="C2" s="30">
        <v>1314.83</v>
      </c>
    </row>
    <row r="3">
      <c r="A3" s="14" t="s">
        <v>61</v>
      </c>
      <c r="B3" s="14" t="s">
        <v>2294</v>
      </c>
      <c r="C3" s="30">
        <v>1276.07</v>
      </c>
    </row>
    <row r="4">
      <c r="A4" s="14" t="s">
        <v>61</v>
      </c>
      <c r="B4" s="14" t="s">
        <v>2294</v>
      </c>
      <c r="C4" s="30">
        <v>1027.38</v>
      </c>
    </row>
    <row r="5">
      <c r="A5" s="14" t="s">
        <v>61</v>
      </c>
      <c r="B5" s="14" t="s">
        <v>2294</v>
      </c>
      <c r="C5" s="30">
        <v>470.4</v>
      </c>
    </row>
    <row r="6">
      <c r="A6" s="14" t="s">
        <v>61</v>
      </c>
      <c r="B6" s="14" t="s">
        <v>2294</v>
      </c>
      <c r="C6" s="30">
        <v>40.17</v>
      </c>
    </row>
    <row r="7">
      <c r="A7" s="14" t="s">
        <v>61</v>
      </c>
      <c r="B7" s="14" t="s">
        <v>2294</v>
      </c>
      <c r="C7" s="30">
        <v>1259.62</v>
      </c>
    </row>
    <row r="8">
      <c r="A8" s="14" t="s">
        <v>61</v>
      </c>
      <c r="B8" s="14" t="s">
        <v>2294</v>
      </c>
      <c r="C8" s="30">
        <v>468.35</v>
      </c>
    </row>
    <row r="9">
      <c r="A9" s="14" t="s">
        <v>61</v>
      </c>
      <c r="B9" s="14" t="s">
        <v>2294</v>
      </c>
      <c r="C9" s="30">
        <v>753.87</v>
      </c>
    </row>
    <row r="10">
      <c r="A10" s="14" t="s">
        <v>61</v>
      </c>
      <c r="B10" s="14" t="s">
        <v>2294</v>
      </c>
      <c r="C10" s="30">
        <v>920.31</v>
      </c>
    </row>
    <row r="11">
      <c r="A11" s="14" t="s">
        <v>61</v>
      </c>
      <c r="B11" s="14" t="s">
        <v>2294</v>
      </c>
      <c r="C11" s="30">
        <v>1891.43</v>
      </c>
    </row>
    <row r="12">
      <c r="A12" s="14" t="s">
        <v>61</v>
      </c>
      <c r="B12" s="14" t="s">
        <v>2294</v>
      </c>
      <c r="C12" s="30">
        <v>3740.0</v>
      </c>
    </row>
    <row r="13">
      <c r="A13" s="14" t="s">
        <v>61</v>
      </c>
      <c r="B13" s="14" t="s">
        <v>2294</v>
      </c>
      <c r="C13" s="30">
        <v>1218.69</v>
      </c>
    </row>
    <row r="14">
      <c r="A14" s="14" t="s">
        <v>61</v>
      </c>
      <c r="B14" s="14" t="s">
        <v>2294</v>
      </c>
      <c r="C14" s="30">
        <v>138.58</v>
      </c>
    </row>
    <row r="15">
      <c r="A15" s="14" t="s">
        <v>61</v>
      </c>
      <c r="B15" s="14" t="s">
        <v>2295</v>
      </c>
      <c r="C15" s="30">
        <v>2651.21</v>
      </c>
    </row>
    <row r="16">
      <c r="A16" s="14" t="s">
        <v>62</v>
      </c>
      <c r="B16" s="14" t="s">
        <v>2296</v>
      </c>
      <c r="C16" s="30">
        <v>1014.51</v>
      </c>
    </row>
    <row r="17">
      <c r="A17" s="14" t="s">
        <v>62</v>
      </c>
      <c r="B17" s="14" t="s">
        <v>2297</v>
      </c>
      <c r="C17" s="30">
        <v>181.79</v>
      </c>
    </row>
    <row r="18">
      <c r="A18" s="14" t="s">
        <v>62</v>
      </c>
      <c r="B18" s="14" t="s">
        <v>2298</v>
      </c>
      <c r="C18" s="30">
        <v>433.27</v>
      </c>
    </row>
    <row r="19">
      <c r="A19" s="14" t="s">
        <v>62</v>
      </c>
      <c r="B19" s="14" t="s">
        <v>2299</v>
      </c>
      <c r="C19" s="30">
        <v>456.73</v>
      </c>
    </row>
    <row r="20">
      <c r="A20" s="14" t="s">
        <v>62</v>
      </c>
      <c r="B20" s="14" t="s">
        <v>2300</v>
      </c>
      <c r="C20" s="30">
        <v>407.93</v>
      </c>
    </row>
    <row r="21" ht="15.75" customHeight="1">
      <c r="A21" s="14" t="s">
        <v>62</v>
      </c>
      <c r="B21" s="14" t="s">
        <v>2301</v>
      </c>
      <c r="C21" s="30">
        <v>1085.28</v>
      </c>
    </row>
    <row r="22" ht="15.75" customHeight="1">
      <c r="A22" s="14" t="s">
        <v>62</v>
      </c>
      <c r="B22" s="14" t="s">
        <v>2302</v>
      </c>
      <c r="C22" s="30">
        <v>999.23</v>
      </c>
    </row>
    <row r="23" ht="15.75" customHeight="1">
      <c r="A23" s="14" t="s">
        <v>62</v>
      </c>
      <c r="B23" s="14" t="s">
        <v>2303</v>
      </c>
      <c r="C23" s="30">
        <v>1011.76</v>
      </c>
    </row>
    <row r="24" ht="15.75" customHeight="1">
      <c r="A24" s="14" t="s">
        <v>62</v>
      </c>
      <c r="B24" s="14" t="s">
        <v>2304</v>
      </c>
      <c r="C24" s="30">
        <v>1537.21</v>
      </c>
    </row>
    <row r="25" ht="15.75" customHeight="1">
      <c r="A25" s="14" t="s">
        <v>62</v>
      </c>
      <c r="B25" s="14" t="s">
        <v>2305</v>
      </c>
      <c r="C25" s="30">
        <v>3166.16</v>
      </c>
    </row>
    <row r="26" ht="15.75" customHeight="1">
      <c r="A26" s="14" t="s">
        <v>62</v>
      </c>
      <c r="B26" s="14" t="s">
        <v>2306</v>
      </c>
      <c r="C26" s="30">
        <v>60.47</v>
      </c>
    </row>
    <row r="27" ht="15.75" customHeight="1">
      <c r="A27" s="14" t="s">
        <v>62</v>
      </c>
      <c r="B27" s="14" t="s">
        <v>2307</v>
      </c>
      <c r="C27" s="30">
        <v>567.99</v>
      </c>
    </row>
    <row r="28" ht="15.75" customHeight="1">
      <c r="A28" s="14" t="s">
        <v>62</v>
      </c>
      <c r="B28" s="14" t="s">
        <v>2308</v>
      </c>
      <c r="C28" s="30">
        <v>939.02</v>
      </c>
    </row>
    <row r="29" ht="15.75" customHeight="1">
      <c r="A29" s="14" t="s">
        <v>67</v>
      </c>
      <c r="B29" s="14" t="s">
        <v>2309</v>
      </c>
      <c r="C29" s="30">
        <v>1856.82</v>
      </c>
    </row>
    <row r="30" ht="15.75" customHeight="1">
      <c r="A30" s="14" t="s">
        <v>67</v>
      </c>
      <c r="B30" s="14" t="s">
        <v>2310</v>
      </c>
      <c r="C30" s="30">
        <v>466.83</v>
      </c>
    </row>
    <row r="31" ht="15.75" customHeight="1">
      <c r="A31" s="14" t="s">
        <v>67</v>
      </c>
      <c r="B31" s="14" t="s">
        <v>2311</v>
      </c>
      <c r="C31" s="30">
        <v>512.26</v>
      </c>
    </row>
    <row r="32" ht="15.75" customHeight="1">
      <c r="A32" s="14" t="s">
        <v>67</v>
      </c>
      <c r="B32" s="14" t="s">
        <v>2312</v>
      </c>
      <c r="C32" s="30">
        <v>129.75</v>
      </c>
    </row>
    <row r="33" ht="15.75" customHeight="1">
      <c r="A33" s="14" t="s">
        <v>67</v>
      </c>
      <c r="B33" s="14" t="s">
        <v>2313</v>
      </c>
      <c r="C33" s="30">
        <v>1498.66</v>
      </c>
    </row>
    <row r="34" ht="15.75" customHeight="1">
      <c r="A34" s="14" t="s">
        <v>67</v>
      </c>
      <c r="B34" s="14" t="s">
        <v>2314</v>
      </c>
      <c r="C34" s="30">
        <v>1980.64</v>
      </c>
    </row>
    <row r="35" ht="15.75" customHeight="1">
      <c r="A35" s="14" t="s">
        <v>67</v>
      </c>
      <c r="B35" s="14" t="s">
        <v>2315</v>
      </c>
      <c r="C35" s="30">
        <v>804.79</v>
      </c>
    </row>
    <row r="36" ht="15.75" customHeight="1">
      <c r="A36" s="14" t="s">
        <v>67</v>
      </c>
      <c r="B36" s="14" t="s">
        <v>2316</v>
      </c>
      <c r="C36" s="30">
        <v>249.65</v>
      </c>
    </row>
    <row r="37" ht="15.75" customHeight="1">
      <c r="A37" s="14" t="s">
        <v>67</v>
      </c>
      <c r="B37" s="14" t="s">
        <v>2317</v>
      </c>
      <c r="C37" s="30">
        <v>804.13</v>
      </c>
    </row>
    <row r="38" ht="15.75" customHeight="1">
      <c r="A38" s="14" t="s">
        <v>67</v>
      </c>
      <c r="B38" s="14" t="s">
        <v>2318</v>
      </c>
      <c r="C38" s="30">
        <v>5522.02</v>
      </c>
    </row>
    <row r="39" ht="15.75" customHeight="1">
      <c r="A39" s="14" t="s">
        <v>67</v>
      </c>
      <c r="B39" s="14" t="s">
        <v>2319</v>
      </c>
      <c r="C39" s="30">
        <v>493.43</v>
      </c>
    </row>
    <row r="40" ht="15.75" customHeight="1">
      <c r="A40" s="14" t="s">
        <v>67</v>
      </c>
      <c r="B40" s="14" t="s">
        <v>2320</v>
      </c>
      <c r="C40" s="30">
        <v>296.7</v>
      </c>
    </row>
    <row r="41" ht="15.75" customHeight="1">
      <c r="A41" s="14" t="s">
        <v>67</v>
      </c>
      <c r="B41" s="14" t="s">
        <v>2321</v>
      </c>
      <c r="C41" s="30">
        <v>1344.0</v>
      </c>
    </row>
    <row r="42" ht="15.75" customHeight="1">
      <c r="A42" s="14" t="s">
        <v>69</v>
      </c>
      <c r="B42" s="14" t="s">
        <v>2322</v>
      </c>
      <c r="C42" s="30">
        <v>402.71</v>
      </c>
    </row>
    <row r="43" ht="15.75" customHeight="1">
      <c r="A43" s="14" t="s">
        <v>69</v>
      </c>
      <c r="B43" s="14" t="s">
        <v>2323</v>
      </c>
      <c r="C43" s="30">
        <v>570.91</v>
      </c>
    </row>
    <row r="44" ht="15.75" customHeight="1">
      <c r="A44" s="14" t="s">
        <v>69</v>
      </c>
      <c r="B44" s="14" t="s">
        <v>2324</v>
      </c>
      <c r="C44" s="30">
        <v>596.26</v>
      </c>
    </row>
    <row r="45" ht="15.75" customHeight="1">
      <c r="A45" s="14" t="s">
        <v>69</v>
      </c>
      <c r="B45" s="14" t="s">
        <v>2325</v>
      </c>
      <c r="C45" s="30">
        <v>1071.59</v>
      </c>
    </row>
    <row r="46" ht="15.75" customHeight="1">
      <c r="A46" s="14" t="s">
        <v>69</v>
      </c>
      <c r="B46" s="14" t="s">
        <v>2326</v>
      </c>
      <c r="C46" s="30">
        <v>1459.78</v>
      </c>
    </row>
    <row r="47" ht="15.75" customHeight="1">
      <c r="A47" s="14" t="s">
        <v>69</v>
      </c>
      <c r="B47" s="14" t="s">
        <v>2327</v>
      </c>
      <c r="C47" s="30">
        <v>929.2</v>
      </c>
    </row>
    <row r="48" ht="15.75" customHeight="1">
      <c r="A48" s="14" t="s">
        <v>69</v>
      </c>
      <c r="B48" s="14" t="s">
        <v>2328</v>
      </c>
      <c r="C48" s="30">
        <v>1071.59</v>
      </c>
    </row>
    <row r="49" ht="15.75" customHeight="1">
      <c r="A49" s="14" t="s">
        <v>69</v>
      </c>
      <c r="B49" s="14" t="s">
        <v>2329</v>
      </c>
      <c r="C49" s="30">
        <v>540.34</v>
      </c>
    </row>
    <row r="50" ht="15.75" customHeight="1">
      <c r="A50" s="14" t="s">
        <v>69</v>
      </c>
      <c r="B50" s="14" t="s">
        <v>2330</v>
      </c>
      <c r="C50" s="30">
        <v>4861.6</v>
      </c>
    </row>
    <row r="51" ht="15.75" customHeight="1">
      <c r="A51" s="14" t="s">
        <v>69</v>
      </c>
      <c r="B51" s="14" t="s">
        <v>2331</v>
      </c>
      <c r="C51" s="30">
        <v>55.0</v>
      </c>
    </row>
    <row r="52" ht="15.75" customHeight="1">
      <c r="A52" s="14" t="s">
        <v>69</v>
      </c>
      <c r="B52" s="14" t="s">
        <v>2332</v>
      </c>
      <c r="C52" s="30">
        <v>29.59</v>
      </c>
    </row>
    <row r="53" ht="15.75" customHeight="1">
      <c r="A53" s="14" t="s">
        <v>69</v>
      </c>
      <c r="B53" s="14" t="s">
        <v>2333</v>
      </c>
      <c r="C53" s="30">
        <v>1132.41</v>
      </c>
    </row>
    <row r="54" ht="15.75" customHeight="1">
      <c r="A54" s="14" t="s">
        <v>72</v>
      </c>
      <c r="B54" s="14" t="s">
        <v>2334</v>
      </c>
      <c r="C54" s="30">
        <v>2366.13</v>
      </c>
    </row>
    <row r="55" ht="15.75" customHeight="1">
      <c r="A55" s="14" t="s">
        <v>72</v>
      </c>
      <c r="B55" s="14" t="s">
        <v>2335</v>
      </c>
      <c r="C55" s="30">
        <v>370.97</v>
      </c>
    </row>
    <row r="56" ht="15.75" customHeight="1">
      <c r="A56" s="14" t="s">
        <v>72</v>
      </c>
      <c r="B56" s="14" t="s">
        <v>2336</v>
      </c>
      <c r="C56" s="30">
        <v>769.51</v>
      </c>
    </row>
    <row r="57" ht="15.75" customHeight="1">
      <c r="A57" s="14" t="s">
        <v>72</v>
      </c>
      <c r="B57" s="14" t="s">
        <v>2337</v>
      </c>
      <c r="C57" s="30">
        <v>491.08</v>
      </c>
    </row>
    <row r="58" ht="15.75" customHeight="1">
      <c r="A58" s="14" t="s">
        <v>72</v>
      </c>
      <c r="B58" s="14" t="s">
        <v>2338</v>
      </c>
      <c r="C58" s="30">
        <v>202.0</v>
      </c>
    </row>
    <row r="59" ht="15.75" customHeight="1">
      <c r="A59" s="14" t="s">
        <v>72</v>
      </c>
      <c r="B59" s="14" t="s">
        <v>2339</v>
      </c>
      <c r="C59" s="30">
        <v>396.85</v>
      </c>
    </row>
    <row r="60" ht="15.75" customHeight="1">
      <c r="A60" s="14" t="s">
        <v>72</v>
      </c>
      <c r="B60" s="14" t="s">
        <v>2340</v>
      </c>
      <c r="C60" s="30">
        <v>1929.74</v>
      </c>
    </row>
    <row r="61" ht="15.75" customHeight="1">
      <c r="A61" s="14" t="s">
        <v>73</v>
      </c>
      <c r="B61" s="14" t="s">
        <v>2341</v>
      </c>
      <c r="C61" s="30">
        <v>2484.98</v>
      </c>
    </row>
    <row r="62" ht="15.75" customHeight="1">
      <c r="A62" s="14" t="s">
        <v>73</v>
      </c>
      <c r="B62" s="14" t="s">
        <v>2342</v>
      </c>
      <c r="C62" s="30">
        <v>1045.23</v>
      </c>
    </row>
    <row r="63" ht="15.75" customHeight="1">
      <c r="A63" s="14" t="s">
        <v>73</v>
      </c>
      <c r="B63" s="14" t="s">
        <v>2343</v>
      </c>
      <c r="C63" s="30">
        <v>804.12</v>
      </c>
    </row>
    <row r="64" ht="15.75" customHeight="1">
      <c r="A64" s="14" t="s">
        <v>73</v>
      </c>
      <c r="B64" s="14" t="s">
        <v>2344</v>
      </c>
      <c r="C64" s="30">
        <v>1106.75</v>
      </c>
    </row>
    <row r="65" ht="15.75" customHeight="1">
      <c r="A65" s="14" t="s">
        <v>73</v>
      </c>
      <c r="B65" s="14" t="s">
        <v>2345</v>
      </c>
      <c r="C65" s="30">
        <v>65.75</v>
      </c>
    </row>
    <row r="66" ht="15.75" customHeight="1">
      <c r="A66" s="14" t="s">
        <v>73</v>
      </c>
      <c r="B66" s="14" t="s">
        <v>2346</v>
      </c>
      <c r="C66" s="30">
        <v>436.68</v>
      </c>
    </row>
    <row r="67" ht="15.75" customHeight="1">
      <c r="A67" s="14" t="s">
        <v>73</v>
      </c>
      <c r="B67" s="14" t="s">
        <v>2347</v>
      </c>
      <c r="C67" s="30">
        <v>263.78</v>
      </c>
    </row>
    <row r="68" ht="15.75" customHeight="1">
      <c r="A68" s="14" t="s">
        <v>73</v>
      </c>
      <c r="B68" s="14" t="s">
        <v>2348</v>
      </c>
      <c r="C68" s="30">
        <v>1294.53</v>
      </c>
    </row>
    <row r="69" ht="15.75" customHeight="1">
      <c r="A69" s="14" t="s">
        <v>73</v>
      </c>
      <c r="B69" s="14" t="s">
        <v>2349</v>
      </c>
      <c r="C69" s="30">
        <v>647.06</v>
      </c>
    </row>
    <row r="70" ht="15.75" customHeight="1">
      <c r="A70" s="14" t="s">
        <v>73</v>
      </c>
      <c r="B70" s="14" t="s">
        <v>2350</v>
      </c>
      <c r="C70" s="30">
        <v>1257.44</v>
      </c>
    </row>
    <row r="71" ht="15.75" customHeight="1">
      <c r="A71" s="14" t="s">
        <v>73</v>
      </c>
      <c r="B71" s="14" t="s">
        <v>2351</v>
      </c>
      <c r="C71" s="30">
        <v>1377.82</v>
      </c>
    </row>
    <row r="72" ht="15.75" customHeight="1">
      <c r="A72" s="14" t="s">
        <v>73</v>
      </c>
      <c r="B72" s="14" t="s">
        <v>2352</v>
      </c>
      <c r="C72" s="30">
        <v>723.62</v>
      </c>
    </row>
    <row r="73" ht="15.75" customHeight="1">
      <c r="A73" s="14" t="s">
        <v>73</v>
      </c>
      <c r="B73" s="14" t="s">
        <v>2353</v>
      </c>
      <c r="C73" s="30">
        <v>986.73</v>
      </c>
    </row>
    <row r="74" ht="15.75" customHeight="1">
      <c r="A74" s="14" t="s">
        <v>73</v>
      </c>
      <c r="B74" s="14" t="s">
        <v>2354</v>
      </c>
      <c r="C74" s="30">
        <v>612.26</v>
      </c>
    </row>
    <row r="75" ht="15.75" customHeight="1">
      <c r="A75" s="14" t="s">
        <v>73</v>
      </c>
      <c r="B75" s="14" t="s">
        <v>2355</v>
      </c>
      <c r="C75" s="30">
        <v>1127.48</v>
      </c>
    </row>
    <row r="76" ht="15.75" customHeight="1">
      <c r="A76" s="14" t="s">
        <v>73</v>
      </c>
      <c r="B76" s="14" t="s">
        <v>2356</v>
      </c>
      <c r="C76" s="30">
        <v>3774.96</v>
      </c>
    </row>
    <row r="77" ht="15.75" customHeight="1">
      <c r="A77" s="14" t="s">
        <v>74</v>
      </c>
      <c r="B77" s="14" t="s">
        <v>2357</v>
      </c>
      <c r="C77" s="30">
        <v>1606.48</v>
      </c>
    </row>
    <row r="78" ht="15.75" customHeight="1">
      <c r="A78" s="14" t="s">
        <v>74</v>
      </c>
      <c r="B78" s="14" t="s">
        <v>2358</v>
      </c>
      <c r="C78" s="30">
        <v>752.45</v>
      </c>
    </row>
    <row r="79" ht="15.75" customHeight="1">
      <c r="A79" s="14" t="s">
        <v>74</v>
      </c>
      <c r="B79" s="14" t="s">
        <v>2359</v>
      </c>
      <c r="C79" s="30">
        <v>370.03</v>
      </c>
    </row>
    <row r="80" ht="15.75" customHeight="1">
      <c r="A80" s="14" t="s">
        <v>74</v>
      </c>
      <c r="B80" s="14" t="s">
        <v>2360</v>
      </c>
      <c r="C80" s="30">
        <v>244.05</v>
      </c>
    </row>
    <row r="81" ht="15.75" customHeight="1">
      <c r="A81" s="14" t="s">
        <v>74</v>
      </c>
      <c r="B81" s="14" t="s">
        <v>485</v>
      </c>
      <c r="C81" s="30">
        <v>529.07</v>
      </c>
    </row>
    <row r="82" ht="15.75" customHeight="1">
      <c r="A82" s="14" t="s">
        <v>74</v>
      </c>
      <c r="B82" s="14" t="s">
        <v>2361</v>
      </c>
      <c r="C82" s="30">
        <v>2558.47</v>
      </c>
    </row>
    <row r="83" ht="15.75" customHeight="1">
      <c r="A83" s="14" t="s">
        <v>74</v>
      </c>
      <c r="B83" s="14" t="s">
        <v>2362</v>
      </c>
      <c r="C83" s="30">
        <v>3341.52</v>
      </c>
    </row>
    <row r="84" ht="15.75" customHeight="1">
      <c r="A84" s="14" t="s">
        <v>74</v>
      </c>
      <c r="B84" s="14" t="s">
        <v>2363</v>
      </c>
      <c r="C84" s="30">
        <v>453.25</v>
      </c>
    </row>
    <row r="85" ht="15.75" customHeight="1">
      <c r="A85" s="14" t="s">
        <v>74</v>
      </c>
      <c r="B85" s="14" t="s">
        <v>2364</v>
      </c>
      <c r="C85" s="30">
        <v>466.97</v>
      </c>
    </row>
    <row r="86" ht="15.75" customHeight="1">
      <c r="A86" s="14" t="s">
        <v>74</v>
      </c>
      <c r="B86" s="14" t="s">
        <v>515</v>
      </c>
      <c r="C86" s="30">
        <v>1368.91</v>
      </c>
    </row>
    <row r="87" ht="15.75" customHeight="1">
      <c r="A87" s="14" t="s">
        <v>74</v>
      </c>
      <c r="B87" s="14" t="s">
        <v>2365</v>
      </c>
      <c r="C87" s="30">
        <v>403.21</v>
      </c>
    </row>
    <row r="88" ht="15.75" customHeight="1">
      <c r="A88" s="14" t="s">
        <v>74</v>
      </c>
      <c r="B88" s="14" t="s">
        <v>2366</v>
      </c>
      <c r="C88" s="30">
        <v>125.0</v>
      </c>
    </row>
    <row r="89" ht="15.75" customHeight="1">
      <c r="A89" s="14" t="s">
        <v>74</v>
      </c>
      <c r="B89" s="14" t="s">
        <v>2367</v>
      </c>
      <c r="C89" s="30">
        <v>38.15</v>
      </c>
    </row>
    <row r="90" ht="15.75" customHeight="1">
      <c r="A90" s="14" t="s">
        <v>77</v>
      </c>
      <c r="B90" s="14" t="s">
        <v>2368</v>
      </c>
      <c r="C90" s="30">
        <v>3185.0</v>
      </c>
    </row>
    <row r="91" ht="15.75" customHeight="1">
      <c r="A91" s="14" t="s">
        <v>77</v>
      </c>
      <c r="B91" s="14" t="s">
        <v>2369</v>
      </c>
      <c r="C91" s="30">
        <v>1136.14</v>
      </c>
    </row>
    <row r="92" ht="15.75" customHeight="1">
      <c r="A92" s="14" t="s">
        <v>77</v>
      </c>
      <c r="B92" s="14" t="s">
        <v>2370</v>
      </c>
      <c r="C92" s="30">
        <v>1440.48</v>
      </c>
    </row>
    <row r="93" ht="15.75" customHeight="1">
      <c r="A93" s="14" t="s">
        <v>77</v>
      </c>
      <c r="B93" s="14" t="s">
        <v>2371</v>
      </c>
      <c r="C93" s="30">
        <v>39.83</v>
      </c>
    </row>
    <row r="94" ht="15.75" customHeight="1">
      <c r="A94" s="14" t="s">
        <v>77</v>
      </c>
      <c r="B94" s="14" t="s">
        <v>2372</v>
      </c>
      <c r="C94" s="30">
        <v>600.0</v>
      </c>
    </row>
    <row r="95" ht="15.75" customHeight="1">
      <c r="A95" s="14" t="s">
        <v>77</v>
      </c>
      <c r="B95" s="14" t="s">
        <v>2373</v>
      </c>
      <c r="C95" s="30">
        <v>1415.08</v>
      </c>
    </row>
    <row r="96" ht="15.75" customHeight="1">
      <c r="A96" s="14" t="s">
        <v>77</v>
      </c>
      <c r="B96" s="14" t="s">
        <v>2374</v>
      </c>
      <c r="C96" s="30">
        <v>748.69</v>
      </c>
    </row>
    <row r="97" ht="15.75" customHeight="1">
      <c r="A97" s="14" t="s">
        <v>77</v>
      </c>
      <c r="B97" s="14" t="s">
        <v>2375</v>
      </c>
      <c r="C97" s="30">
        <v>1579.83</v>
      </c>
    </row>
    <row r="98" ht="15.75" customHeight="1">
      <c r="A98" s="14" t="s">
        <v>77</v>
      </c>
      <c r="B98" s="14" t="s">
        <v>2376</v>
      </c>
      <c r="C98" s="30">
        <v>32.3</v>
      </c>
    </row>
    <row r="99" ht="15.75" customHeight="1">
      <c r="A99" s="14" t="s">
        <v>77</v>
      </c>
      <c r="B99" s="14" t="s">
        <v>2377</v>
      </c>
      <c r="C99" s="30">
        <v>1226.4</v>
      </c>
    </row>
    <row r="100" ht="15.75" customHeight="1">
      <c r="A100" s="14" t="s">
        <v>77</v>
      </c>
      <c r="B100" s="14" t="s">
        <v>2378</v>
      </c>
      <c r="C100" s="30">
        <v>381.23</v>
      </c>
    </row>
    <row r="101" ht="15.75" customHeight="1">
      <c r="A101" s="14" t="s">
        <v>77</v>
      </c>
      <c r="B101" s="14" t="s">
        <v>2379</v>
      </c>
      <c r="C101" s="30">
        <v>330.71</v>
      </c>
    </row>
    <row r="102" ht="15.75" customHeight="1">
      <c r="A102" s="14" t="s">
        <v>77</v>
      </c>
      <c r="B102" s="14" t="s">
        <v>2380</v>
      </c>
      <c r="C102" s="30">
        <v>282.23</v>
      </c>
    </row>
    <row r="103" ht="15.75" customHeight="1">
      <c r="A103" s="14" t="s">
        <v>77</v>
      </c>
      <c r="B103" s="14" t="s">
        <v>2381</v>
      </c>
      <c r="C103" s="30">
        <v>904.96</v>
      </c>
    </row>
    <row r="104" ht="15.75" customHeight="1">
      <c r="A104" s="14" t="s">
        <v>77</v>
      </c>
      <c r="B104" s="14" t="s">
        <v>2382</v>
      </c>
      <c r="C104" s="30">
        <v>40.96</v>
      </c>
    </row>
    <row r="105" ht="15.75" customHeight="1">
      <c r="A105" s="14" t="s">
        <v>77</v>
      </c>
      <c r="B105" s="14" t="s">
        <v>2383</v>
      </c>
      <c r="C105" s="30">
        <v>473.36</v>
      </c>
    </row>
    <row r="106" ht="15.75" customHeight="1">
      <c r="A106" s="14" t="s">
        <v>77</v>
      </c>
      <c r="B106" s="14" t="s">
        <v>2384</v>
      </c>
      <c r="C106" s="30">
        <v>1248.31</v>
      </c>
    </row>
    <row r="107" ht="15.75" customHeight="1">
      <c r="A107" s="14" t="s">
        <v>80</v>
      </c>
      <c r="B107" s="14" t="s">
        <v>2385</v>
      </c>
      <c r="C107" s="30">
        <v>702.76</v>
      </c>
    </row>
    <row r="108" ht="15.75" customHeight="1">
      <c r="A108" s="14" t="s">
        <v>80</v>
      </c>
      <c r="B108" s="14" t="s">
        <v>2385</v>
      </c>
      <c r="C108" s="30">
        <v>270.69</v>
      </c>
    </row>
    <row r="109" ht="15.75" customHeight="1">
      <c r="A109" s="14" t="s">
        <v>80</v>
      </c>
      <c r="B109" s="14" t="s">
        <v>2385</v>
      </c>
      <c r="C109" s="30">
        <v>428.75</v>
      </c>
    </row>
    <row r="110" ht="15.75" customHeight="1">
      <c r="A110" s="14" t="s">
        <v>80</v>
      </c>
      <c r="B110" s="14" t="s">
        <v>2385</v>
      </c>
      <c r="C110" s="30">
        <v>2.65</v>
      </c>
    </row>
    <row r="111" ht="15.75" customHeight="1">
      <c r="A111" s="14" t="s">
        <v>80</v>
      </c>
      <c r="B111" s="14" t="s">
        <v>2385</v>
      </c>
      <c r="C111" s="30">
        <v>992.45</v>
      </c>
    </row>
    <row r="112" ht="15.75" customHeight="1">
      <c r="A112" s="14" t="s">
        <v>80</v>
      </c>
      <c r="B112" s="14" t="s">
        <v>2385</v>
      </c>
      <c r="C112" s="30">
        <v>1343.94</v>
      </c>
    </row>
    <row r="113" ht="15.75" customHeight="1">
      <c r="A113" s="14" t="s">
        <v>80</v>
      </c>
      <c r="B113" s="14" t="s">
        <v>2385</v>
      </c>
      <c r="C113" s="30">
        <v>1681.05</v>
      </c>
    </row>
    <row r="114" ht="15.75" customHeight="1">
      <c r="A114" s="14" t="s">
        <v>80</v>
      </c>
      <c r="B114" s="14" t="s">
        <v>2385</v>
      </c>
      <c r="C114" s="30">
        <v>2944.44</v>
      </c>
    </row>
    <row r="115" ht="15.75" customHeight="1">
      <c r="A115" s="14" t="s">
        <v>80</v>
      </c>
      <c r="B115" s="14" t="s">
        <v>2385</v>
      </c>
      <c r="C115" s="30">
        <v>1891.61</v>
      </c>
    </row>
    <row r="116" ht="15.75" customHeight="1">
      <c r="A116" s="14" t="s">
        <v>80</v>
      </c>
      <c r="B116" s="14" t="s">
        <v>2385</v>
      </c>
      <c r="C116" s="30">
        <v>120.92</v>
      </c>
    </row>
    <row r="117" ht="15.75" customHeight="1">
      <c r="A117" s="14" t="s">
        <v>80</v>
      </c>
      <c r="B117" s="14" t="s">
        <v>2385</v>
      </c>
      <c r="C117" s="30">
        <v>2436.51</v>
      </c>
    </row>
    <row r="118" ht="15.75" customHeight="1">
      <c r="A118" s="14" t="s">
        <v>80</v>
      </c>
      <c r="B118" s="14" t="s">
        <v>2385</v>
      </c>
      <c r="C118" s="30">
        <v>206.97</v>
      </c>
    </row>
    <row r="119" ht="15.75" customHeight="1">
      <c r="A119" s="14" t="s">
        <v>80</v>
      </c>
      <c r="B119" s="14" t="s">
        <v>2385</v>
      </c>
      <c r="C119" s="30">
        <v>239.47</v>
      </c>
    </row>
    <row r="120" ht="15.75" customHeight="1">
      <c r="A120" s="14" t="s">
        <v>80</v>
      </c>
      <c r="B120" s="14" t="s">
        <v>2385</v>
      </c>
      <c r="C120" s="30">
        <v>176.34</v>
      </c>
    </row>
    <row r="121" ht="15.75" customHeight="1">
      <c r="A121" s="14" t="s">
        <v>80</v>
      </c>
      <c r="B121" s="14" t="s">
        <v>2385</v>
      </c>
      <c r="C121" s="30">
        <v>301.64</v>
      </c>
    </row>
    <row r="122" ht="15.75" customHeight="1">
      <c r="A122" s="14" t="s">
        <v>80</v>
      </c>
      <c r="B122" s="14" t="s">
        <v>2385</v>
      </c>
      <c r="C122" s="30">
        <v>1472.25</v>
      </c>
    </row>
    <row r="123" ht="15.75" customHeight="1">
      <c r="A123" s="14" t="s">
        <v>80</v>
      </c>
      <c r="B123" s="14" t="s">
        <v>2386</v>
      </c>
      <c r="C123" s="30">
        <v>1648.57</v>
      </c>
    </row>
    <row r="124" ht="15.75" customHeight="1">
      <c r="A124" s="14" t="s">
        <v>80</v>
      </c>
      <c r="B124" s="14" t="s">
        <v>2387</v>
      </c>
      <c r="C124" s="30">
        <v>566.62</v>
      </c>
    </row>
    <row r="125" ht="15.75" customHeight="1">
      <c r="A125" s="14" t="s">
        <v>80</v>
      </c>
      <c r="B125" s="14" t="s">
        <v>2388</v>
      </c>
      <c r="C125" s="30">
        <v>1065.22</v>
      </c>
    </row>
    <row r="126" ht="15.75" customHeight="1">
      <c r="A126" s="14" t="s">
        <v>80</v>
      </c>
      <c r="B126" s="14" t="s">
        <v>2388</v>
      </c>
      <c r="C126" s="30">
        <v>336.67</v>
      </c>
    </row>
    <row r="127" ht="15.75" customHeight="1">
      <c r="A127" s="14" t="s">
        <v>80</v>
      </c>
      <c r="B127" s="14" t="s">
        <v>2388</v>
      </c>
      <c r="C127" s="30">
        <v>26.25</v>
      </c>
    </row>
    <row r="128" ht="15.75" customHeight="1">
      <c r="A128" s="14" t="s">
        <v>80</v>
      </c>
      <c r="B128" s="14" t="s">
        <v>2388</v>
      </c>
      <c r="C128" s="30">
        <v>171.57</v>
      </c>
    </row>
    <row r="129" ht="15.75" customHeight="1">
      <c r="A129" s="14" t="s">
        <v>80</v>
      </c>
      <c r="B129" s="14" t="s">
        <v>2388</v>
      </c>
      <c r="C129" s="30">
        <v>1488.25</v>
      </c>
    </row>
    <row r="130" ht="15.75" customHeight="1">
      <c r="A130" s="14" t="s">
        <v>80</v>
      </c>
      <c r="B130" s="14" t="s">
        <v>2388</v>
      </c>
      <c r="C130" s="30">
        <v>298.0</v>
      </c>
    </row>
    <row r="131" ht="15.75" customHeight="1">
      <c r="A131" s="14" t="s">
        <v>80</v>
      </c>
      <c r="B131" s="14" t="s">
        <v>2388</v>
      </c>
      <c r="C131" s="30">
        <v>757.9</v>
      </c>
    </row>
    <row r="132" ht="15.75" customHeight="1">
      <c r="A132" s="14" t="s">
        <v>80</v>
      </c>
      <c r="B132" s="14" t="s">
        <v>2388</v>
      </c>
      <c r="C132" s="30">
        <v>19.74</v>
      </c>
    </row>
    <row r="133" ht="15.75" customHeight="1">
      <c r="A133" s="14" t="s">
        <v>80</v>
      </c>
      <c r="B133" s="14" t="s">
        <v>2388</v>
      </c>
      <c r="C133" s="30">
        <v>1743.34</v>
      </c>
    </row>
    <row r="134" ht="15.75" customHeight="1">
      <c r="A134" s="14" t="s">
        <v>80</v>
      </c>
      <c r="B134" s="14" t="s">
        <v>2389</v>
      </c>
      <c r="C134" s="30">
        <v>156.8</v>
      </c>
    </row>
    <row r="135" ht="15.75" customHeight="1">
      <c r="A135" s="14" t="s">
        <v>80</v>
      </c>
      <c r="B135" s="14" t="s">
        <v>2388</v>
      </c>
      <c r="C135" s="30">
        <v>4455.4</v>
      </c>
    </row>
    <row r="136" ht="15.75" customHeight="1">
      <c r="A136" s="14" t="s">
        <v>80</v>
      </c>
      <c r="B136" s="14" t="s">
        <v>2388</v>
      </c>
      <c r="C136" s="30">
        <v>634.27</v>
      </c>
    </row>
    <row r="137" ht="15.75" customHeight="1">
      <c r="A137" s="14" t="s">
        <v>80</v>
      </c>
      <c r="B137" s="14" t="s">
        <v>2390</v>
      </c>
      <c r="C137" s="30">
        <v>2689.44</v>
      </c>
    </row>
    <row r="138" ht="15.75" customHeight="1">
      <c r="A138" s="14" t="s">
        <v>80</v>
      </c>
      <c r="B138" s="14" t="s">
        <v>2388</v>
      </c>
      <c r="C138" s="30">
        <v>297.64</v>
      </c>
    </row>
    <row r="139" ht="15.75" customHeight="1">
      <c r="A139" s="14" t="s">
        <v>82</v>
      </c>
      <c r="B139" s="14" t="s">
        <v>2391</v>
      </c>
      <c r="C139" s="30">
        <v>991.09</v>
      </c>
    </row>
    <row r="140" ht="15.75" customHeight="1">
      <c r="A140" s="14" t="s">
        <v>82</v>
      </c>
      <c r="B140" s="14" t="s">
        <v>2392</v>
      </c>
      <c r="C140" s="30">
        <v>120.0</v>
      </c>
    </row>
    <row r="141" ht="15.75" customHeight="1">
      <c r="A141" s="14" t="s">
        <v>82</v>
      </c>
      <c r="B141" s="14" t="s">
        <v>2393</v>
      </c>
      <c r="C141" s="30">
        <v>507.51</v>
      </c>
    </row>
    <row r="142" ht="15.75" customHeight="1">
      <c r="A142" s="14" t="s">
        <v>82</v>
      </c>
      <c r="B142" s="14" t="s">
        <v>2394</v>
      </c>
      <c r="C142" s="30">
        <v>243.06</v>
      </c>
    </row>
    <row r="143" ht="15.75" customHeight="1">
      <c r="A143" s="14" t="s">
        <v>82</v>
      </c>
      <c r="B143" s="14" t="s">
        <v>2395</v>
      </c>
      <c r="C143" s="30">
        <v>2661.91</v>
      </c>
    </row>
    <row r="144" ht="15.75" customHeight="1">
      <c r="A144" s="14" t="s">
        <v>82</v>
      </c>
      <c r="B144" s="14" t="s">
        <v>2361</v>
      </c>
      <c r="C144" s="30">
        <v>688.29</v>
      </c>
    </row>
    <row r="145" ht="15.75" customHeight="1">
      <c r="A145" s="14" t="s">
        <v>82</v>
      </c>
      <c r="B145" s="14" t="s">
        <v>2396</v>
      </c>
      <c r="C145" s="30">
        <v>2504.31</v>
      </c>
    </row>
    <row r="146" ht="15.75" customHeight="1">
      <c r="A146" s="14" t="s">
        <v>82</v>
      </c>
      <c r="B146" s="14" t="s">
        <v>2358</v>
      </c>
      <c r="C146" s="30">
        <v>398.82</v>
      </c>
    </row>
    <row r="147" ht="15.75" customHeight="1">
      <c r="A147" s="14" t="s">
        <v>82</v>
      </c>
      <c r="B147" s="14" t="s">
        <v>515</v>
      </c>
      <c r="C147" s="30">
        <v>1283.08</v>
      </c>
    </row>
    <row r="148" ht="15.75" customHeight="1">
      <c r="A148" s="14" t="s">
        <v>82</v>
      </c>
      <c r="B148" s="14" t="s">
        <v>2397</v>
      </c>
      <c r="C148" s="30">
        <v>1760.93</v>
      </c>
    </row>
    <row r="149" ht="15.75" customHeight="1">
      <c r="A149" s="14" t="s">
        <v>82</v>
      </c>
      <c r="B149" s="14" t="s">
        <v>2359</v>
      </c>
      <c r="C149" s="30">
        <v>65.82</v>
      </c>
    </row>
    <row r="150" ht="15.75" customHeight="1">
      <c r="A150" s="14" t="s">
        <v>82</v>
      </c>
      <c r="B150" s="14" t="s">
        <v>2365</v>
      </c>
      <c r="C150" s="30">
        <v>360.3</v>
      </c>
    </row>
    <row r="151" ht="15.75" customHeight="1">
      <c r="A151" s="14" t="s">
        <v>82</v>
      </c>
      <c r="B151" s="14" t="s">
        <v>2398</v>
      </c>
      <c r="C151" s="30">
        <v>320.94</v>
      </c>
    </row>
    <row r="152" ht="15.75" customHeight="1">
      <c r="A152" s="14" t="s">
        <v>82</v>
      </c>
      <c r="B152" s="14" t="s">
        <v>2364</v>
      </c>
      <c r="C152" s="30">
        <v>546.22</v>
      </c>
    </row>
    <row r="153" ht="15.75" customHeight="1">
      <c r="A153" s="14" t="s">
        <v>82</v>
      </c>
      <c r="B153" s="14" t="s">
        <v>485</v>
      </c>
      <c r="C153" s="30">
        <v>419.58</v>
      </c>
    </row>
    <row r="154" ht="15.75" customHeight="1">
      <c r="A154" s="14" t="s">
        <v>83</v>
      </c>
      <c r="B154" s="14" t="s">
        <v>2399</v>
      </c>
      <c r="C154" s="30">
        <v>919.49</v>
      </c>
    </row>
    <row r="155" ht="15.75" customHeight="1">
      <c r="A155" s="14" t="s">
        <v>83</v>
      </c>
      <c r="B155" s="14" t="s">
        <v>2400</v>
      </c>
      <c r="C155" s="30">
        <v>993.76</v>
      </c>
    </row>
    <row r="156" ht="15.75" customHeight="1">
      <c r="A156" s="14" t="s">
        <v>83</v>
      </c>
      <c r="B156" s="14" t="s">
        <v>2401</v>
      </c>
      <c r="C156" s="30">
        <v>1047.2</v>
      </c>
    </row>
    <row r="157" ht="15.75" customHeight="1">
      <c r="A157" s="14" t="s">
        <v>83</v>
      </c>
      <c r="B157" s="14" t="s">
        <v>2402</v>
      </c>
      <c r="C157" s="30">
        <v>225.66</v>
      </c>
    </row>
    <row r="158" ht="15.75" customHeight="1">
      <c r="A158" s="14" t="s">
        <v>83</v>
      </c>
      <c r="B158" s="14" t="s">
        <v>2403</v>
      </c>
      <c r="C158" s="30">
        <v>681.42</v>
      </c>
    </row>
    <row r="159" ht="15.75" customHeight="1">
      <c r="A159" s="14" t="s">
        <v>83</v>
      </c>
      <c r="B159" s="14" t="s">
        <v>2404</v>
      </c>
      <c r="C159" s="30">
        <v>860.3</v>
      </c>
    </row>
    <row r="160" ht="15.75" customHeight="1">
      <c r="A160" s="14" t="s">
        <v>83</v>
      </c>
      <c r="B160" s="14" t="s">
        <v>2405</v>
      </c>
      <c r="C160" s="30">
        <v>916.5</v>
      </c>
    </row>
    <row r="161" ht="15.75" customHeight="1">
      <c r="A161" s="14" t="s">
        <v>83</v>
      </c>
      <c r="B161" s="14" t="s">
        <v>2406</v>
      </c>
      <c r="C161" s="30">
        <v>1232.48</v>
      </c>
    </row>
    <row r="162" ht="15.75" customHeight="1">
      <c r="A162" s="14" t="s">
        <v>83</v>
      </c>
      <c r="B162" s="14" t="s">
        <v>2407</v>
      </c>
      <c r="C162" s="30">
        <v>273.72</v>
      </c>
    </row>
    <row r="163" ht="15.75" customHeight="1">
      <c r="A163" s="14" t="s">
        <v>83</v>
      </c>
      <c r="B163" s="14" t="s">
        <v>2408</v>
      </c>
      <c r="C163" s="30">
        <v>1212.12</v>
      </c>
    </row>
    <row r="164" ht="15.75" customHeight="1">
      <c r="A164" s="14" t="s">
        <v>83</v>
      </c>
      <c r="B164" s="14" t="s">
        <v>2409</v>
      </c>
      <c r="C164" s="30">
        <v>20.0</v>
      </c>
    </row>
    <row r="165" ht="15.75" customHeight="1">
      <c r="A165" s="14" t="s">
        <v>83</v>
      </c>
      <c r="B165" s="14" t="s">
        <v>2410</v>
      </c>
      <c r="C165" s="30">
        <v>241.49</v>
      </c>
    </row>
    <row r="166" ht="15.75" customHeight="1">
      <c r="A166" s="14" t="s">
        <v>83</v>
      </c>
      <c r="B166" s="14" t="s">
        <v>2411</v>
      </c>
      <c r="C166" s="30">
        <v>1034.84</v>
      </c>
    </row>
    <row r="167" ht="15.75" customHeight="1">
      <c r="A167" s="14" t="s">
        <v>83</v>
      </c>
      <c r="B167" s="14" t="s">
        <v>2412</v>
      </c>
      <c r="C167" s="30">
        <v>770.0</v>
      </c>
    </row>
    <row r="168" ht="15.75" customHeight="1">
      <c r="A168" s="14" t="s">
        <v>83</v>
      </c>
      <c r="B168" s="14" t="s">
        <v>2413</v>
      </c>
      <c r="C168" s="30">
        <v>633.04</v>
      </c>
    </row>
    <row r="169" ht="15.75" customHeight="1"/>
    <row r="170" ht="15.75" customHeight="1">
      <c r="B170" s="35" t="s">
        <v>2414</v>
      </c>
      <c r="C170" s="32">
        <f>SUM(C2:C168)</f>
        <v>165073.46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